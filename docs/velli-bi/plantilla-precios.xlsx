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ómo usarla" sheetId="1" state="visible" r:id="rId1"/>
    <sheet name="Servicios" sheetId="2" state="visible" r:id="rId2"/>
    <sheet name="Ajustes" sheetId="3" state="visible" r:id="rId3"/>
    <sheet name="Productos" sheetId="4" state="visible" r:id="rId4"/>
    <sheet name="Consumo" sheetId="5" state="visible" r:id="rId5"/>
    <sheet name="Comisiones" sheetId="6" state="visible" r:id="rId6"/>
    <sheet name="Simulador" sheetId="7" state="visible" r:id="rId7"/>
    <sheet name="Registro" sheetId="8" state="visible" r:id="rId8"/>
    <sheet name="Resumen" sheetId="9" state="visible" r:id="rId9"/>
  </sheets>
  <definedNames>
    <definedName name="_xlnm.Print_Titles" localSheetId="1">'Servicios'!$8:$8</definedName>
    <definedName name="_xlnm.Print_Titles" localSheetId="2">'Ajustes'!$4:$4</definedName>
    <definedName name="_xlnm.Print_Titles" localSheetId="3">'Productos'!$4:$4</definedName>
    <definedName name="_xlnm.Print_Titles" localSheetId="4">'Consumo'!$6:$6</definedName>
    <definedName name="_xlnm.Print_Titles" localSheetId="5">'Comisiones'!$4:$4</definedName>
    <definedName name="_xlnm.Print_Titles" localSheetId="7">'Registro'!$4:$4</definedName>
    <definedName name="_xlnm.Print_Titles" localSheetId="8">'Resumen'!$8:$8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/mm/yyyy"/>
    <numFmt numFmtId="165" formatCode="$#,##0;-$#,##0;&quot;-&quot;"/>
    <numFmt numFmtId="166" formatCode="#,##0.0"/>
    <numFmt numFmtId="167" formatCode="0.0%;-0.0%;&quot;-&quot;"/>
    <numFmt numFmtId="168" formatCode="yyyy-mm-dd"/>
  </numFmts>
  <fonts count="12">
    <font>
      <name val="Calibri"/>
      <family val="2"/>
      <color theme="1"/>
      <sz val="11"/>
      <scheme val="minor"/>
    </font>
    <font>
      <name val="Arial"/>
      <b val="1"/>
      <color rgb="002D5A27"/>
      <sz val="14"/>
    </font>
    <font>
      <name val="Arial"/>
      <b val="1"/>
      <color rgb="002D5A27"/>
      <sz val="11"/>
    </font>
    <font>
      <name val="Arial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color rgb="00008000"/>
      <sz val="10"/>
    </font>
    <font>
      <name val="Arial"/>
      <i val="1"/>
      <color rgb="00595959"/>
      <sz val="9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0000FF"/>
      <sz val="10"/>
    </font>
    <font>
      <name val="Arial"/>
      <b val="1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2D5A27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164" fontId="4" fillId="2" borderId="1" pivotButton="0" quotePrefix="0" xfId="0"/>
    <xf numFmtId="165" fontId="4" fillId="2" borderId="1" pivotButton="0" quotePrefix="0" xfId="0"/>
    <xf numFmtId="1" fontId="4" fillId="2" borderId="1" pivotButton="0" quotePrefix="0" xfId="0"/>
    <xf numFmtId="0" fontId="9" fillId="3" borderId="1" applyAlignment="1" pivotButton="0" quotePrefix="0" xfId="0">
      <alignment horizontal="center" vertical="center" wrapText="1"/>
    </xf>
    <xf numFmtId="0" fontId="10" fillId="2" borderId="1" pivotButton="0" quotePrefix="0" xfId="0"/>
    <xf numFmtId="165" fontId="10" fillId="2" borderId="1" pivotButton="0" quotePrefix="0" xfId="0"/>
    <xf numFmtId="166" fontId="10" fillId="2" borderId="1" pivotButton="0" quotePrefix="0" xfId="0"/>
    <xf numFmtId="166" fontId="4" fillId="2" borderId="1" pivotButton="0" quotePrefix="0" xfId="0"/>
    <xf numFmtId="0" fontId="3" fillId="0" borderId="1" pivotButton="0" quotePrefix="0" xfId="0"/>
    <xf numFmtId="165" fontId="5" fillId="0" borderId="1" pivotButton="0" quotePrefix="0" xfId="0"/>
    <xf numFmtId="167" fontId="5" fillId="0" borderId="1" pivotButton="0" quotePrefix="0" xfId="0"/>
    <xf numFmtId="167" fontId="4" fillId="2" borderId="1" pivotButton="0" quotePrefix="0" xfId="0"/>
    <xf numFmtId="2" fontId="4" fillId="2" borderId="1" pivotButton="0" quotePrefix="0" xfId="0"/>
    <xf numFmtId="167" fontId="10" fillId="2" borderId="1" pivotButton="0" quotePrefix="0" xfId="0"/>
    <xf numFmtId="0" fontId="2" fillId="0" borderId="0" pivotButton="0" quotePrefix="0" xfId="0"/>
    <xf numFmtId="1" fontId="5" fillId="0" borderId="1" pivotButton="0" quotePrefix="0" xfId="0"/>
    <xf numFmtId="0" fontId="7" fillId="0" borderId="0" pivotButton="0" quotePrefix="0" xfId="0"/>
    <xf numFmtId="165" fontId="11" fillId="4" borderId="1" pivotButton="0" quotePrefix="0" xfId="0"/>
    <xf numFmtId="164" fontId="5" fillId="0" borderId="1" pivotButton="0" quotePrefix="0" xfId="0"/>
    <xf numFmtId="166" fontId="5" fillId="0" borderId="1" pivotButton="0" quotePrefix="0" xfId="0"/>
    <xf numFmtId="2" fontId="5" fillId="0" borderId="1" pivotButton="0" quotePrefix="0" xfId="0"/>
    <xf numFmtId="164" fontId="10" fillId="2" borderId="1" pivotButton="0" quotePrefix="0" xfId="0"/>
    <xf numFmtId="1" fontId="11" fillId="0" borderId="1" pivotButton="0" quotePrefix="0" xfId="0"/>
    <xf numFmtId="167" fontId="1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Velli</author>
  </authors>
  <commentList>
    <comment ref="E5" authorId="0" shapeId="0">
      <text>
        <t>Precio final redondeado a este múltiplo. 1000 = al millar más cercano.</t>
      </text>
    </comment>
    <comment ref="B6" authorId="0" shapeId="0">
      <text>
        <t>Valor de partida propuesto por Velli (15 días). Cámbialo si el salón usa otro.</t>
      </text>
    </comment>
    <comment ref="A10" authorId="0" shapeId="0">
      <text>
        <t>Los 8 servicios que sugiere el onboarding de Velli. Renómbralos o bórralos según el salón.</t>
      </text>
    </comment>
  </commentList>
</comments>
</file>

<file path=xl/comments/comment2.xml><?xml version="1.0" encoding="utf-8"?>
<comments xmlns="http://schemas.openxmlformats.org/spreadsheetml/2006/main">
  <authors>
    <author>Velli</author>
  </authors>
  <commentList>
    <comment ref="D6" authorId="0" shapeId="0">
      <text>
        <t>Valores de ejemplo, no recomendados: reemplázalos con los del salón.</t>
      </text>
    </comment>
    <comment ref="C12" authorId="0" shapeId="0">
      <text>
        <t>Estándar de Velli para clasificar la fibra (docs/velli-bi/02, §1.1). Ajústalo si el salón usa otro criterio.</t>
      </text>
    </comment>
  </commentList>
</comments>
</file>

<file path=xl/comments/comment3.xml><?xml version="1.0" encoding="utf-8"?>
<comments xmlns="http://schemas.openxmlformats.org/spreadsheetml/2006/main">
  <authors>
    <author>Velli</author>
  </authors>
  <commentList>
    <comment ref="B4" authorId="0" shapeId="0">
      <text>
        <t>Valor de partida (orientativo, igual al de la calculadora sin carta de marca). Confírmalo en la carta técnica.</t>
      </text>
    </comment>
    <comment ref="C7" authorId="0" shapeId="0">
      <text>
        <t>Factores de partida propuestos por Velli, no medidos. Ajústalos con el salón: 2 = el doble de tinte que un cabello corto.</t>
      </text>
    </comment>
    <comment ref="C16" authorId="0" shapeId="0">
      <text>
        <t>Estándar de Velli: con 50–75 % de canas se gasta 15 % más de producto por saturación; con 75–100 %, 20 % más.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A1" s="1" t="inlineStr">
        <is>
          <t>Velli · Plantilla de precios para probar en papel</t>
        </is>
      </c>
      <c r="B1" s="2" t="n"/>
    </row>
    <row r="2">
      <c r="A2" s="2" t="n"/>
      <c r="B2" s="2" t="n"/>
    </row>
    <row r="3">
      <c r="A3" s="2" t="n"/>
      <c r="B3" s="3" t="inlineStr">
        <is>
          <t>Para qué sirve</t>
        </is>
      </c>
    </row>
    <row r="4" ht="28" customHeight="1">
      <c r="A4" s="2" t="n"/>
      <c r="B4" s="4" t="inlineStr">
        <is>
          <t>Antes de construir el cotizador en la app, queremos comprobar con 3 salones reales dos cosas: si cuatro variables del diagnóstico (largo, densidad, estado de la fibra y canas) explican cómo cobran, y cuánto cambia lo cobrado según quién atiende.</t>
        </is>
      </c>
    </row>
    <row r="5">
      <c r="A5" s="2" t="n"/>
      <c r="B5" s="3" t="inlineStr">
        <is>
          <t>Cómo usarla</t>
        </is>
      </c>
    </row>
    <row r="6" ht="16" customHeight="1">
      <c r="A6" s="2" t="n"/>
      <c r="B6" s="4" t="inlineStr">
        <is>
          <t>1. Haz una copia del archivo por salón (por ejemplo: plantilla-precios-SalonA.xlsx).</t>
        </is>
      </c>
    </row>
    <row r="7" ht="16" customHeight="1">
      <c r="A7" s="2" t="n"/>
      <c r="B7" s="4" t="inlineStr">
        <is>
          <t>2. Con el dueño, en 30 a 45 minutos: llena Servicios, Ajustes, Productos, Consumo y Comisiones.</t>
        </is>
      </c>
    </row>
    <row r="8" ht="16" customHeight="1">
      <c r="A8" s="2" t="n"/>
      <c r="B8" s="4" t="inlineStr">
        <is>
          <t>3. En el Simulador, prueba 3 o 4 casos reales y ajusta hasta que el dueño diga «sí, así cobro».</t>
        </is>
      </c>
    </row>
    <row r="9" ht="28" customHeight="1">
      <c r="A9" s="2" t="n"/>
      <c r="B9" s="4" t="inlineStr">
        <is>
          <t>4. Durante una semana, anota en Registro cada servicio real: la hoja calcula su precio y tú escribes lo que se cobró.</t>
        </is>
      </c>
    </row>
    <row r="10" ht="16" customHeight="1">
      <c r="A10" s="2" t="n"/>
      <c r="B10" s="4" t="inlineStr">
        <is>
          <t>5. Al final, mira el Resumen: cuántos casos coinciden con la hoja (±5 %) y cuánto se separa cada estilista.</t>
        </is>
      </c>
    </row>
    <row r="11">
      <c r="A11" s="2" t="n"/>
      <c r="B11" s="3" t="inlineStr">
        <is>
          <t>Leyenda</t>
        </is>
      </c>
    </row>
    <row r="12" ht="16" customHeight="1">
      <c r="A12" s="5" t="inlineStr">
        <is>
          <t>Abc</t>
        </is>
      </c>
      <c r="B12" s="4" t="inlineStr">
        <is>
          <t>Celda para llenar. Lo que ya trae en azul es un ejemplo o un valor de partida: cámbialo con el dueño.</t>
        </is>
      </c>
    </row>
    <row r="13" ht="16" customHeight="1">
      <c r="A13" s="6" t="inlineStr">
        <is>
          <t>123</t>
        </is>
      </c>
      <c r="B13" s="4" t="inlineStr">
        <is>
          <t>Fórmula: no la toques.</t>
        </is>
      </c>
    </row>
    <row r="14" ht="16" customHeight="1">
      <c r="A14" s="7" t="inlineStr">
        <is>
          <t>123</t>
        </is>
      </c>
      <c r="B14" s="4" t="inlineStr">
        <is>
          <t>Dato traído de otra hoja.</t>
        </is>
      </c>
    </row>
    <row r="15" ht="16" customHeight="1">
      <c r="A15" s="2" t="n"/>
      <c r="B15" s="4" t="inlineStr">
        <is>
          <t>Las filas «Ejemplo · …» muestran el formato esperado. Puedes sobrescribirlas.</t>
        </is>
      </c>
    </row>
    <row r="16">
      <c r="A16" s="2" t="n"/>
      <c r="B16" s="3" t="inlineStr">
        <is>
          <t>Qué queremos aprender</t>
        </is>
      </c>
    </row>
    <row r="17" ht="28" customHeight="1">
      <c r="A17" s="2" t="n"/>
      <c r="B17" s="4" t="inlineStr">
        <is>
          <t>• ¿Bastan las cuatro variables, o el dueño cobra por algo más? Anótalo en Registro, columna «¿Algo que la hoja no considera?».</t>
        </is>
      </c>
    </row>
    <row r="18" ht="16" customHeight="1">
      <c r="A18" s="2" t="n"/>
      <c r="B18" s="4" t="inlineStr">
        <is>
          <t>• ¿El dueño piensa los ajustes como porcentaje, como suma fija o ambos?</t>
        </is>
      </c>
    </row>
    <row r="19" ht="16" customHeight="1">
      <c r="A19" s="2" t="n"/>
      <c r="B19" s="4" t="inlineStr">
        <is>
          <t>• ¿Cuánto se separa cada estilista del precio de la hoja?</t>
        </is>
      </c>
    </row>
    <row r="20" ht="16" customHeight="1">
      <c r="A20" s="2" t="n"/>
      <c r="B20" s="4" t="inlineStr">
        <is>
          <t>• ¿Los gramos que gasta el salón en color se parecen a los factores de la hoja Consumo?</t>
        </is>
      </c>
    </row>
    <row r="21">
      <c r="A21" s="2" t="n"/>
      <c r="B21" s="3" t="inlineStr">
        <is>
          <t>Estándares de Velli (se pueden ajustar con el salón)</t>
        </is>
      </c>
    </row>
    <row r="22" ht="28" customHeight="1">
      <c r="A22" s="2" t="n"/>
      <c r="B22" s="4" t="inlineStr">
        <is>
          <t>Largo: corto (mentón), medio (hombros o clavícula), largo (media espalda o tira del brasier), extra largo (cintura o más).</t>
        </is>
      </c>
    </row>
    <row r="23" ht="28" customHeight="1">
      <c r="A23" s="2" t="n"/>
      <c r="B23" s="4" t="inlineStr">
        <is>
          <t>Estado de la fibra: sana o virgen (sin recargo); procesada o porosa (sugerir un tratamiento sellante); sensibilizada o muy dañada (prueba de mechón y aditivo protector Plex obligatorios en servicios químicos).</t>
        </is>
      </c>
    </row>
    <row r="24" ht="28" customHeight="1">
      <c r="A24" s="2" t="n"/>
      <c r="B24" s="4" t="inlineStr">
        <is>
          <t>Canas: 0–25 %, 25–50 %, 50–75 % (+15 % de producto por saturación) y 75–100 % (+20 % de producto y técnica de prepigmentación).</t>
        </is>
      </c>
    </row>
    <row r="25">
      <c r="A25" s="2" t="n"/>
      <c r="B25" s="3" t="inlineStr">
        <is>
          <t>Privacidad</t>
        </is>
      </c>
    </row>
    <row r="26" ht="16" customHeight="1">
      <c r="A26" s="2" t="n"/>
      <c r="B26" s="4" t="inlineStr">
        <is>
          <t>En Registro escribe solo las iniciales de la clienta. No anotes datos de salud capilar ni del diagnóstico.</t>
        </is>
      </c>
    </row>
    <row r="27">
      <c r="A27" s="2" t="n"/>
      <c r="B27" s="3" t="inlineStr">
        <is>
          <t>Fuente del modelo</t>
        </is>
      </c>
    </row>
    <row r="28" ht="28" customHeight="1">
      <c r="A28" s="2" t="n"/>
      <c r="B28" s="4" t="inlineStr">
        <is>
          <t>docs/velli-bi/02-diseno-cotizador.md (secciones 1.1, 1.2 y 3). Precio = redondeo((base + sumas) × (1 + porcentajes)).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8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1" customWidth="1" min="4" max="4"/>
    <col width="11" customWidth="1" min="5" max="5"/>
    <col width="11" customWidth="1" min="6" max="6"/>
    <col width="11" customWidth="1" min="7" max="7"/>
    <col width="12" customWidth="1" min="8" max="8"/>
    <col width="12" customWidth="1" min="9" max="9"/>
    <col width="13" customWidth="1" min="10" max="10"/>
    <col width="11" customWidth="1" min="11" max="11"/>
    <col width="34" customWidth="1" min="12" max="12"/>
  </cols>
  <sheetData>
    <row r="1">
      <c r="A1" s="1" t="inlineStr">
        <is>
          <t>Servicios del salón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30" customHeight="1">
      <c r="A2" s="8" t="inlineStr">
        <is>
          <t>Precio base = lo que cobra el salón con cabello corto, densidad media, fibra sana y hasta 25 % de canas. Las columnas «Ajusta por…» dicen qué variables cambian el precio de ese servicio.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9" t="inlineStr">
        <is>
          <t>Salón</t>
        </is>
      </c>
      <c r="B4" s="5" t="n"/>
      <c r="C4" s="2" t="n"/>
      <c r="D4" s="9" t="inlineStr">
        <is>
          <t>Ciudad</t>
        </is>
      </c>
      <c r="E4" s="5" t="n"/>
      <c r="F4" s="2" t="n"/>
      <c r="G4" s="2" t="n"/>
      <c r="H4" s="2" t="n"/>
      <c r="I4" s="2" t="n"/>
      <c r="J4" s="2" t="n"/>
      <c r="K4" s="2" t="n"/>
      <c r="L4" s="2" t="n"/>
    </row>
    <row r="5">
      <c r="A5" s="9" t="inlineStr">
        <is>
          <t>Fecha de la visita</t>
        </is>
      </c>
      <c r="B5" s="10" t="n"/>
      <c r="C5" s="2" t="n"/>
      <c r="D5" s="9" t="inlineStr">
        <is>
          <t>Redondeo del precio ($)</t>
        </is>
      </c>
      <c r="E5" s="11" t="n">
        <v>1000</v>
      </c>
      <c r="F5" s="2" t="n"/>
      <c r="G5" s="2" t="n"/>
      <c r="H5" s="2" t="n"/>
      <c r="I5" s="2" t="n"/>
      <c r="J5" s="2" t="n"/>
      <c r="K5" s="2" t="n"/>
      <c r="L5" s="2" t="n"/>
    </row>
    <row r="6">
      <c r="A6" s="9" t="inlineStr">
        <is>
          <t>Vigencia de la cotización (días)</t>
        </is>
      </c>
      <c r="B6" s="12" t="n">
        <v>15</v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 ht="32" customHeight="1">
      <c r="A8" s="13" t="inlineStr">
        <is>
          <t>Servicio</t>
        </is>
      </c>
      <c r="B8" s="13" t="inlineStr">
        <is>
          <t>Categoría</t>
        </is>
      </c>
      <c r="C8" s="13" t="inlineStr">
        <is>
          <t>Precio base ($)</t>
        </is>
      </c>
      <c r="D8" s="13" t="inlineStr">
        <is>
          <t>Ajusta por largo</t>
        </is>
      </c>
      <c r="E8" s="13" t="inlineStr">
        <is>
          <t>Ajusta por densidad</t>
        </is>
      </c>
      <c r="F8" s="13" t="inlineStr">
        <is>
          <t>Ajusta por estado de la fibra</t>
        </is>
      </c>
      <c r="G8" s="13" t="inlineStr">
        <is>
          <t>Ajusta por canas</t>
        </is>
      </c>
      <c r="H8" s="13" t="inlineStr">
        <is>
          <t>¿Usa fórmula de color?</t>
        </is>
      </c>
      <c r="I8" s="13" t="inlineStr">
        <is>
          <t>Gramos de tinte base</t>
        </is>
      </c>
      <c r="J8" s="13" t="inlineStr">
        <is>
          <t>Insumos fijos ($)</t>
        </is>
      </c>
      <c r="K8" s="13" t="inlineStr">
        <is>
          <t>Duración (min)</t>
        </is>
      </c>
      <c r="L8" s="13" t="inlineStr">
        <is>
          <t>Notas</t>
        </is>
      </c>
    </row>
    <row r="9">
      <c r="A9" s="14" t="inlineStr">
        <is>
          <t>Ejemplo · Tinte completo</t>
        </is>
      </c>
      <c r="B9" s="14" t="inlineStr">
        <is>
          <t>color</t>
        </is>
      </c>
      <c r="C9" s="15" t="n">
        <v>120000</v>
      </c>
      <c r="D9" s="14" t="inlineStr">
        <is>
          <t>Sí</t>
        </is>
      </c>
      <c r="E9" s="14" t="inlineStr">
        <is>
          <t>Sí</t>
        </is>
      </c>
      <c r="F9" s="14" t="inlineStr">
        <is>
          <t>No</t>
        </is>
      </c>
      <c r="G9" s="14" t="inlineStr">
        <is>
          <t>Sí</t>
        </is>
      </c>
      <c r="H9" s="14" t="inlineStr">
        <is>
          <t>Sí</t>
        </is>
      </c>
      <c r="I9" s="16" t="n">
        <v>60</v>
      </c>
      <c r="J9" s="15" t="n">
        <v>3000</v>
      </c>
      <c r="K9" s="14" t="n">
        <v>120</v>
      </c>
      <c r="L9" s="14" t="inlineStr">
        <is>
          <t>Precio de ejemplo para cabello corto y densidad media</t>
        </is>
      </c>
    </row>
    <row r="10">
      <c r="A10" s="5" t="inlineStr">
        <is>
          <t>Corte</t>
        </is>
      </c>
      <c r="B10" s="5" t="inlineStr">
        <is>
          <t>corte</t>
        </is>
      </c>
      <c r="C10" s="11" t="n"/>
      <c r="D10" s="5" t="n"/>
      <c r="E10" s="5" t="n"/>
      <c r="F10" s="5" t="n"/>
      <c r="G10" s="5" t="n"/>
      <c r="H10" s="5" t="n"/>
      <c r="I10" s="17" t="n"/>
      <c r="J10" s="11" t="n"/>
      <c r="K10" s="5" t="n"/>
      <c r="L10" s="5" t="n"/>
    </row>
    <row r="11">
      <c r="A11" s="5" t="inlineStr">
        <is>
          <t>Color y mechas</t>
        </is>
      </c>
      <c r="B11" s="5" t="inlineStr">
        <is>
          <t>color</t>
        </is>
      </c>
      <c r="C11" s="11" t="n"/>
      <c r="D11" s="5" t="n"/>
      <c r="E11" s="5" t="n"/>
      <c r="F11" s="5" t="n"/>
      <c r="G11" s="5" t="n"/>
      <c r="H11" s="5" t="n"/>
      <c r="I11" s="17" t="n"/>
      <c r="J11" s="11" t="n"/>
      <c r="K11" s="5" t="n"/>
      <c r="L11" s="5" t="n"/>
    </row>
    <row r="12">
      <c r="A12" s="5" t="inlineStr">
        <is>
          <t>Tratamiento capilar</t>
        </is>
      </c>
      <c r="B12" s="5" t="inlineStr">
        <is>
          <t>tratamiento</t>
        </is>
      </c>
      <c r="C12" s="11" t="n"/>
      <c r="D12" s="5" t="n"/>
      <c r="E12" s="5" t="n"/>
      <c r="F12" s="5" t="n"/>
      <c r="G12" s="5" t="n"/>
      <c r="H12" s="5" t="n"/>
      <c r="I12" s="17" t="n"/>
      <c r="J12" s="11" t="n"/>
      <c r="K12" s="5" t="n"/>
      <c r="L12" s="5" t="n"/>
    </row>
    <row r="13">
      <c r="A13" s="5" t="inlineStr">
        <is>
          <t>Keratina y alisado</t>
        </is>
      </c>
      <c r="B13" s="5" t="inlineStr">
        <is>
          <t>alisado</t>
        </is>
      </c>
      <c r="C13" s="11" t="n"/>
      <c r="D13" s="5" t="n"/>
      <c r="E13" s="5" t="n"/>
      <c r="F13" s="5" t="n"/>
      <c r="G13" s="5" t="n"/>
      <c r="H13" s="5" t="n"/>
      <c r="I13" s="17" t="n"/>
      <c r="J13" s="11" t="n"/>
      <c r="K13" s="5" t="n"/>
      <c r="L13" s="5" t="n"/>
    </row>
    <row r="14">
      <c r="A14" s="5" t="inlineStr">
        <is>
          <t>Rizos y definición</t>
        </is>
      </c>
      <c r="B14" s="5" t="inlineStr">
        <is>
          <t>rizos</t>
        </is>
      </c>
      <c r="C14" s="11" t="n"/>
      <c r="D14" s="5" t="n"/>
      <c r="E14" s="5" t="n"/>
      <c r="F14" s="5" t="n"/>
      <c r="G14" s="5" t="n"/>
      <c r="H14" s="5" t="n"/>
      <c r="I14" s="17" t="n"/>
      <c r="J14" s="11" t="n"/>
      <c r="K14" s="5" t="n"/>
      <c r="L14" s="5" t="n"/>
    </row>
    <row r="15">
      <c r="A15" s="5" t="inlineStr">
        <is>
          <t>Peinado y brushing</t>
        </is>
      </c>
      <c r="B15" s="5" t="inlineStr">
        <is>
          <t>peinado</t>
        </is>
      </c>
      <c r="C15" s="11" t="n"/>
      <c r="D15" s="5" t="n"/>
      <c r="E15" s="5" t="n"/>
      <c r="F15" s="5" t="n"/>
      <c r="G15" s="5" t="n"/>
      <c r="H15" s="5" t="n"/>
      <c r="I15" s="17" t="n"/>
      <c r="J15" s="11" t="n"/>
      <c r="K15" s="5" t="n"/>
      <c r="L15" s="5" t="n"/>
    </row>
    <row r="16">
      <c r="A16" s="5" t="inlineStr">
        <is>
          <t>Cuero cabelludo</t>
        </is>
      </c>
      <c r="B16" s="5" t="inlineStr">
        <is>
          <t>cuero cabelludo</t>
        </is>
      </c>
      <c r="C16" s="11" t="n"/>
      <c r="D16" s="5" t="n"/>
      <c r="E16" s="5" t="n"/>
      <c r="F16" s="5" t="n"/>
      <c r="G16" s="5" t="n"/>
      <c r="H16" s="5" t="n"/>
      <c r="I16" s="17" t="n"/>
      <c r="J16" s="11" t="n"/>
      <c r="K16" s="5" t="n"/>
      <c r="L16" s="5" t="n"/>
    </row>
    <row r="17">
      <c r="A17" s="5" t="inlineStr">
        <is>
          <t>Extensiones</t>
        </is>
      </c>
      <c r="B17" s="5" t="inlineStr">
        <is>
          <t>extensiones</t>
        </is>
      </c>
      <c r="C17" s="11" t="n"/>
      <c r="D17" s="5" t="n"/>
      <c r="E17" s="5" t="n"/>
      <c r="F17" s="5" t="n"/>
      <c r="G17" s="5" t="n"/>
      <c r="H17" s="5" t="n"/>
      <c r="I17" s="17" t="n"/>
      <c r="J17" s="11" t="n"/>
      <c r="K17" s="5" t="n"/>
      <c r="L17" s="5" t="n"/>
    </row>
    <row r="18">
      <c r="A18" s="5" t="n"/>
      <c r="B18" s="5" t="n"/>
      <c r="C18" s="11" t="n"/>
      <c r="D18" s="5" t="n"/>
      <c r="E18" s="5" t="n"/>
      <c r="F18" s="5" t="n"/>
      <c r="G18" s="5" t="n"/>
      <c r="H18" s="5" t="n"/>
      <c r="I18" s="17" t="n"/>
      <c r="J18" s="11" t="n"/>
      <c r="K18" s="5" t="n"/>
      <c r="L18" s="5" t="n"/>
    </row>
    <row r="19">
      <c r="A19" s="5" t="n"/>
      <c r="B19" s="5" t="n"/>
      <c r="C19" s="11" t="n"/>
      <c r="D19" s="5" t="n"/>
      <c r="E19" s="5" t="n"/>
      <c r="F19" s="5" t="n"/>
      <c r="G19" s="5" t="n"/>
      <c r="H19" s="5" t="n"/>
      <c r="I19" s="17" t="n"/>
      <c r="J19" s="11" t="n"/>
      <c r="K19" s="5" t="n"/>
      <c r="L19" s="5" t="n"/>
    </row>
    <row r="20">
      <c r="A20" s="5" t="n"/>
      <c r="B20" s="5" t="n"/>
      <c r="C20" s="11" t="n"/>
      <c r="D20" s="5" t="n"/>
      <c r="E20" s="5" t="n"/>
      <c r="F20" s="5" t="n"/>
      <c r="G20" s="5" t="n"/>
      <c r="H20" s="5" t="n"/>
      <c r="I20" s="17" t="n"/>
      <c r="J20" s="11" t="n"/>
      <c r="K20" s="5" t="n"/>
      <c r="L20" s="5" t="n"/>
    </row>
    <row r="21">
      <c r="A21" s="5" t="n"/>
      <c r="B21" s="5" t="n"/>
      <c r="C21" s="11" t="n"/>
      <c r="D21" s="5" t="n"/>
      <c r="E21" s="5" t="n"/>
      <c r="F21" s="5" t="n"/>
      <c r="G21" s="5" t="n"/>
      <c r="H21" s="5" t="n"/>
      <c r="I21" s="17" t="n"/>
      <c r="J21" s="11" t="n"/>
      <c r="K21" s="5" t="n"/>
      <c r="L21" s="5" t="n"/>
    </row>
    <row r="22">
      <c r="A22" s="5" t="n"/>
      <c r="B22" s="5" t="n"/>
      <c r="C22" s="11" t="n"/>
      <c r="D22" s="5" t="n"/>
      <c r="E22" s="5" t="n"/>
      <c r="F22" s="5" t="n"/>
      <c r="G22" s="5" t="n"/>
      <c r="H22" s="5" t="n"/>
      <c r="I22" s="17" t="n"/>
      <c r="J22" s="11" t="n"/>
      <c r="K22" s="5" t="n"/>
      <c r="L22" s="5" t="n"/>
    </row>
    <row r="23">
      <c r="A23" s="5" t="n"/>
      <c r="B23" s="5" t="n"/>
      <c r="C23" s="11" t="n"/>
      <c r="D23" s="5" t="n"/>
      <c r="E23" s="5" t="n"/>
      <c r="F23" s="5" t="n"/>
      <c r="G23" s="5" t="n"/>
      <c r="H23" s="5" t="n"/>
      <c r="I23" s="17" t="n"/>
      <c r="J23" s="11" t="n"/>
      <c r="K23" s="5" t="n"/>
      <c r="L23" s="5" t="n"/>
    </row>
    <row r="24">
      <c r="A24" s="5" t="n"/>
      <c r="B24" s="5" t="n"/>
      <c r="C24" s="11" t="n"/>
      <c r="D24" s="5" t="n"/>
      <c r="E24" s="5" t="n"/>
      <c r="F24" s="5" t="n"/>
      <c r="G24" s="5" t="n"/>
      <c r="H24" s="5" t="n"/>
      <c r="I24" s="17" t="n"/>
      <c r="J24" s="11" t="n"/>
      <c r="K24" s="5" t="n"/>
      <c r="L24" s="5" t="n"/>
    </row>
    <row r="25">
      <c r="A25" s="5" t="n"/>
      <c r="B25" s="5" t="n"/>
      <c r="C25" s="11" t="n"/>
      <c r="D25" s="5" t="n"/>
      <c r="E25" s="5" t="n"/>
      <c r="F25" s="5" t="n"/>
      <c r="G25" s="5" t="n"/>
      <c r="H25" s="5" t="n"/>
      <c r="I25" s="17" t="n"/>
      <c r="J25" s="11" t="n"/>
      <c r="K25" s="5" t="n"/>
      <c r="L25" s="5" t="n"/>
    </row>
    <row r="26">
      <c r="A26" s="5" t="n"/>
      <c r="B26" s="5" t="n"/>
      <c r="C26" s="11" t="n"/>
      <c r="D26" s="5" t="n"/>
      <c r="E26" s="5" t="n"/>
      <c r="F26" s="5" t="n"/>
      <c r="G26" s="5" t="n"/>
      <c r="H26" s="5" t="n"/>
      <c r="I26" s="17" t="n"/>
      <c r="J26" s="11" t="n"/>
      <c r="K26" s="5" t="n"/>
      <c r="L26" s="5" t="n"/>
    </row>
    <row r="27">
      <c r="A27" s="5" t="n"/>
      <c r="B27" s="5" t="n"/>
      <c r="C27" s="11" t="n"/>
      <c r="D27" s="5" t="n"/>
      <c r="E27" s="5" t="n"/>
      <c r="F27" s="5" t="n"/>
      <c r="G27" s="5" t="n"/>
      <c r="H27" s="5" t="n"/>
      <c r="I27" s="17" t="n"/>
      <c r="J27" s="11" t="n"/>
      <c r="K27" s="5" t="n"/>
      <c r="L27" s="5" t="n"/>
    </row>
    <row r="28">
      <c r="A28" s="5" t="n"/>
      <c r="B28" s="5" t="n"/>
      <c r="C28" s="11" t="n"/>
      <c r="D28" s="5" t="n"/>
      <c r="E28" s="5" t="n"/>
      <c r="F28" s="5" t="n"/>
      <c r="G28" s="5" t="n"/>
      <c r="H28" s="5" t="n"/>
      <c r="I28" s="17" t="n"/>
      <c r="J28" s="11" t="n"/>
      <c r="K28" s="5" t="n"/>
      <c r="L28" s="5" t="n"/>
    </row>
    <row r="29">
      <c r="A29" s="5" t="n"/>
      <c r="B29" s="5" t="n"/>
      <c r="C29" s="11" t="n"/>
      <c r="D29" s="5" t="n"/>
      <c r="E29" s="5" t="n"/>
      <c r="F29" s="5" t="n"/>
      <c r="G29" s="5" t="n"/>
      <c r="H29" s="5" t="n"/>
      <c r="I29" s="17" t="n"/>
      <c r="J29" s="11" t="n"/>
      <c r="K29" s="5" t="n"/>
      <c r="L29" s="5" t="n"/>
    </row>
    <row r="30">
      <c r="A30" s="5" t="n"/>
      <c r="B30" s="5" t="n"/>
      <c r="C30" s="11" t="n"/>
      <c r="D30" s="5" t="n"/>
      <c r="E30" s="5" t="n"/>
      <c r="F30" s="5" t="n"/>
      <c r="G30" s="5" t="n"/>
      <c r="H30" s="5" t="n"/>
      <c r="I30" s="17" t="n"/>
      <c r="J30" s="11" t="n"/>
      <c r="K30" s="5" t="n"/>
      <c r="L30" s="5" t="n"/>
    </row>
    <row r="31">
      <c r="A31" s="5" t="n"/>
      <c r="B31" s="5" t="n"/>
      <c r="C31" s="11" t="n"/>
      <c r="D31" s="5" t="n"/>
      <c r="E31" s="5" t="n"/>
      <c r="F31" s="5" t="n"/>
      <c r="G31" s="5" t="n"/>
      <c r="H31" s="5" t="n"/>
      <c r="I31" s="17" t="n"/>
      <c r="J31" s="11" t="n"/>
      <c r="K31" s="5" t="n"/>
      <c r="L31" s="5" t="n"/>
    </row>
    <row r="32">
      <c r="A32" s="5" t="n"/>
      <c r="B32" s="5" t="n"/>
      <c r="C32" s="11" t="n"/>
      <c r="D32" s="5" t="n"/>
      <c r="E32" s="5" t="n"/>
      <c r="F32" s="5" t="n"/>
      <c r="G32" s="5" t="n"/>
      <c r="H32" s="5" t="n"/>
      <c r="I32" s="17" t="n"/>
      <c r="J32" s="11" t="n"/>
      <c r="K32" s="5" t="n"/>
      <c r="L32" s="5" t="n"/>
    </row>
    <row r="33">
      <c r="A33" s="5" t="n"/>
      <c r="B33" s="5" t="n"/>
      <c r="C33" s="11" t="n"/>
      <c r="D33" s="5" t="n"/>
      <c r="E33" s="5" t="n"/>
      <c r="F33" s="5" t="n"/>
      <c r="G33" s="5" t="n"/>
      <c r="H33" s="5" t="n"/>
      <c r="I33" s="17" t="n"/>
      <c r="J33" s="11" t="n"/>
      <c r="K33" s="5" t="n"/>
      <c r="L33" s="5" t="n"/>
    </row>
    <row r="34">
      <c r="A34" s="5" t="n"/>
      <c r="B34" s="5" t="n"/>
      <c r="C34" s="11" t="n"/>
      <c r="D34" s="5" t="n"/>
      <c r="E34" s="5" t="n"/>
      <c r="F34" s="5" t="n"/>
      <c r="G34" s="5" t="n"/>
      <c r="H34" s="5" t="n"/>
      <c r="I34" s="17" t="n"/>
      <c r="J34" s="11" t="n"/>
      <c r="K34" s="5" t="n"/>
      <c r="L34" s="5" t="n"/>
    </row>
    <row r="35">
      <c r="A35" s="5" t="n"/>
      <c r="B35" s="5" t="n"/>
      <c r="C35" s="11" t="n"/>
      <c r="D35" s="5" t="n"/>
      <c r="E35" s="5" t="n"/>
      <c r="F35" s="5" t="n"/>
      <c r="G35" s="5" t="n"/>
      <c r="H35" s="5" t="n"/>
      <c r="I35" s="17" t="n"/>
      <c r="J35" s="11" t="n"/>
      <c r="K35" s="5" t="n"/>
      <c r="L35" s="5" t="n"/>
    </row>
    <row r="36">
      <c r="A36" s="5" t="n"/>
      <c r="B36" s="5" t="n"/>
      <c r="C36" s="11" t="n"/>
      <c r="D36" s="5" t="n"/>
      <c r="E36" s="5" t="n"/>
      <c r="F36" s="5" t="n"/>
      <c r="G36" s="5" t="n"/>
      <c r="H36" s="5" t="n"/>
      <c r="I36" s="17" t="n"/>
      <c r="J36" s="11" t="n"/>
      <c r="K36" s="5" t="n"/>
      <c r="L36" s="5" t="n"/>
    </row>
    <row r="37">
      <c r="A37" s="5" t="n"/>
      <c r="B37" s="5" t="n"/>
      <c r="C37" s="11" t="n"/>
      <c r="D37" s="5" t="n"/>
      <c r="E37" s="5" t="n"/>
      <c r="F37" s="5" t="n"/>
      <c r="G37" s="5" t="n"/>
      <c r="H37" s="5" t="n"/>
      <c r="I37" s="17" t="n"/>
      <c r="J37" s="11" t="n"/>
      <c r="K37" s="5" t="n"/>
      <c r="L37" s="5" t="n"/>
    </row>
    <row r="38">
      <c r="A38" s="5" t="n"/>
      <c r="B38" s="5" t="n"/>
      <c r="C38" s="11" t="n"/>
      <c r="D38" s="5" t="n"/>
      <c r="E38" s="5" t="n"/>
      <c r="F38" s="5" t="n"/>
      <c r="G38" s="5" t="n"/>
      <c r="H38" s="5" t="n"/>
      <c r="I38" s="17" t="n"/>
      <c r="J38" s="11" t="n"/>
      <c r="K38" s="5" t="n"/>
      <c r="L38" s="5" t="n"/>
    </row>
  </sheetData>
  <mergeCells count="1">
    <mergeCell ref="A2:L2"/>
  </mergeCells>
  <dataValidations count="2">
    <dataValidation sqref="B9:B38" showDropDown="0" showInputMessage="0" showErrorMessage="0" allowBlank="1" errorTitle="Valor no válido" error="Elige un valor de la lista." type="list">
      <formula1>"color,decoloración,tratamiento,corte,alisado,rizos,peinado,cuero cabelludo,extensiones,otro"</formula1>
    </dataValidation>
    <dataValidation sqref="D9:H38" showDropDown="0" showInputMessage="0" showErrorMessage="0" allowBlank="1" errorTitle="Valor no válido" error="Elige un valor de la lista." type="list">
      <formula1>"Sí,No"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58" customWidth="1" min="3" max="3"/>
    <col width="14" customWidth="1" min="4" max="4"/>
    <col width="14" customWidth="1" min="5" max="5"/>
  </cols>
  <sheetData>
    <row r="1">
      <c r="A1" s="1" t="inlineStr">
        <is>
          <t>Ajustes por variable</t>
        </is>
      </c>
      <c r="B1" s="2" t="n"/>
      <c r="C1" s="2" t="n"/>
      <c r="D1" s="2" t="n"/>
      <c r="E1" s="2" t="n"/>
    </row>
    <row r="2" ht="30" customHeight="1">
      <c r="A2" s="8" t="inlineStr">
        <is>
          <t>Cuánto sube el precio según cada variable. Puedes usar suma fija, porcentaje o ambos: precio = (base + sumas) × (1 + porcentajes). El valor de referencia (corto, media, sana, 0–25 % de canas) siempre es 0.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 ht="32" customHeight="1">
      <c r="A4" s="13" t="inlineStr">
        <is>
          <t>Variable</t>
        </is>
      </c>
      <c r="B4" s="13" t="inlineStr">
        <is>
          <t>Valor</t>
        </is>
      </c>
      <c r="C4" s="13" t="inlineStr">
        <is>
          <t>Cómo reconocerlo</t>
        </is>
      </c>
      <c r="D4" s="13" t="inlineStr">
        <is>
          <t>Suma ($)</t>
        </is>
      </c>
      <c r="E4" s="13" t="inlineStr">
        <is>
          <t>Porcentaje (%)</t>
        </is>
      </c>
    </row>
    <row r="5">
      <c r="A5" s="18" t="inlineStr">
        <is>
          <t>Largo</t>
        </is>
      </c>
      <c r="B5" s="18" t="inlineStr">
        <is>
          <t>Corto</t>
        </is>
      </c>
      <c r="C5" s="18" t="inlineStr">
        <is>
          <t>Hasta el mentón (referencia)</t>
        </is>
      </c>
      <c r="D5" s="19" t="n">
        <v>0</v>
      </c>
      <c r="E5" s="20" t="n">
        <v>0</v>
      </c>
    </row>
    <row r="6">
      <c r="A6" s="18" t="inlineStr">
        <is>
          <t>Largo</t>
        </is>
      </c>
      <c r="B6" s="18" t="inlineStr">
        <is>
          <t>Medio</t>
        </is>
      </c>
      <c r="C6" s="18" t="inlineStr">
        <is>
          <t>Hasta los hombros o la clavícula</t>
        </is>
      </c>
      <c r="D6" s="11" t="n">
        <v>0</v>
      </c>
      <c r="E6" s="21" t="n">
        <v>0.2</v>
      </c>
    </row>
    <row r="7">
      <c r="A7" s="18" t="inlineStr">
        <is>
          <t>Largo</t>
        </is>
      </c>
      <c r="B7" s="18" t="inlineStr">
        <is>
          <t>Largo</t>
        </is>
      </c>
      <c r="C7" s="18" t="inlineStr">
        <is>
          <t>Hasta la media espalda o la tira del brasier</t>
        </is>
      </c>
      <c r="D7" s="11" t="n">
        <v>0</v>
      </c>
      <c r="E7" s="21" t="n">
        <v>0.4</v>
      </c>
    </row>
    <row r="8">
      <c r="A8" s="18" t="inlineStr">
        <is>
          <t>Largo</t>
        </is>
      </c>
      <c r="B8" s="18" t="inlineStr">
        <is>
          <t>Extra largo</t>
        </is>
      </c>
      <c r="C8" s="18" t="inlineStr">
        <is>
          <t>Hasta la cintura o más</t>
        </is>
      </c>
      <c r="D8" s="11" t="n">
        <v>0</v>
      </c>
      <c r="E8" s="21" t="n">
        <v>0.6</v>
      </c>
    </row>
    <row r="9">
      <c r="A9" s="18" t="inlineStr">
        <is>
          <t>Densidad</t>
        </is>
      </c>
      <c r="B9" s="18" t="inlineStr">
        <is>
          <t>Baja</t>
        </is>
      </c>
      <c r="C9" s="18" t="inlineStr">
        <is>
          <t>Se ve el cuero cabelludo a través del cabello</t>
        </is>
      </c>
      <c r="D9" s="11" t="n">
        <v>0</v>
      </c>
      <c r="E9" s="21" t="n">
        <v>0</v>
      </c>
    </row>
    <row r="10">
      <c r="A10" s="18" t="inlineStr">
        <is>
          <t>Densidad</t>
        </is>
      </c>
      <c r="B10" s="18" t="inlineStr">
        <is>
          <t>Media</t>
        </is>
      </c>
      <c r="C10" s="18" t="inlineStr">
        <is>
          <t>Se ve en parte (referencia)</t>
        </is>
      </c>
      <c r="D10" s="19" t="n">
        <v>0</v>
      </c>
      <c r="E10" s="20" t="n">
        <v>0</v>
      </c>
    </row>
    <row r="11">
      <c r="A11" s="18" t="inlineStr">
        <is>
          <t>Densidad</t>
        </is>
      </c>
      <c r="B11" s="18" t="inlineStr">
        <is>
          <t>Alta</t>
        </is>
      </c>
      <c r="C11" s="18" t="inlineStr">
        <is>
          <t>No se ve el cuero cabelludo</t>
        </is>
      </c>
      <c r="D11" s="11" t="n">
        <v>0</v>
      </c>
      <c r="E11" s="21" t="n">
        <v>0.15</v>
      </c>
    </row>
    <row r="12">
      <c r="A12" s="18" t="inlineStr">
        <is>
          <t>Estado de la fibra</t>
        </is>
      </c>
      <c r="B12" s="18" t="inlineStr">
        <is>
          <t>Sana / virgen</t>
        </is>
      </c>
      <c r="C12" s="18" t="inlineStr">
        <is>
          <t>Sin química previa ni daño, buena elasticidad (referencia, sin recargo)</t>
        </is>
      </c>
      <c r="D12" s="19" t="n">
        <v>0</v>
      </c>
      <c r="E12" s="20" t="n">
        <v>0</v>
      </c>
    </row>
    <row r="13">
      <c r="A13" s="18" t="inlineStr">
        <is>
          <t>Estado de la fibra</t>
        </is>
      </c>
      <c r="B13" s="18" t="inlineStr">
        <is>
          <t>Procesada / porosa</t>
        </is>
      </c>
      <c r="C13" s="18" t="inlineStr">
        <is>
          <t>Química previa (tinte, decoloración, alisado), porosidad alta o daño leve. Sugerir un tratamiento sellante</t>
        </is>
      </c>
      <c r="D13" s="11" t="n">
        <v>10000</v>
      </c>
      <c r="E13" s="21" t="n">
        <v>0</v>
      </c>
    </row>
    <row r="14">
      <c r="A14" s="18" t="inlineStr">
        <is>
          <t>Estado de la fibra</t>
        </is>
      </c>
      <c r="B14" s="18" t="inlineStr">
        <is>
          <t>Sensibilizada / muy dañada</t>
        </is>
      </c>
      <c r="C14" s="18" t="inlineStr">
        <is>
          <t>Elasticidad baja, puntas abiertas severas o daño químico. En químicos: prueba de mechón y aditivo Plex obligatorios</t>
        </is>
      </c>
      <c r="D14" s="11" t="n">
        <v>20000</v>
      </c>
      <c r="E14" s="21" t="n">
        <v>0</v>
      </c>
    </row>
    <row r="15">
      <c r="A15" s="18" t="inlineStr">
        <is>
          <t>Canas</t>
        </is>
      </c>
      <c r="B15" s="18" t="inlineStr">
        <is>
          <t>0–25 %</t>
        </is>
      </c>
      <c r="C15" s="18" t="inlineStr">
        <is>
          <t>Sin canas o canas sueltas (referencia)</t>
        </is>
      </c>
      <c r="D15" s="19" t="n">
        <v>0</v>
      </c>
      <c r="E15" s="20" t="n">
        <v>0</v>
      </c>
    </row>
    <row r="16">
      <c r="A16" s="18" t="inlineStr">
        <is>
          <t>Canas</t>
        </is>
      </c>
      <c r="B16" s="18" t="inlineStr">
        <is>
          <t>25–50 %</t>
        </is>
      </c>
      <c r="C16" s="18" t="inlineStr">
        <is>
          <t>Hasta la mitad</t>
        </is>
      </c>
      <c r="D16" s="11" t="n">
        <v>10000</v>
      </c>
      <c r="E16" s="21" t="n">
        <v>0</v>
      </c>
    </row>
    <row r="17">
      <c r="A17" s="18" t="inlineStr">
        <is>
          <t>Canas</t>
        </is>
      </c>
      <c r="B17" s="18" t="inlineStr">
        <is>
          <t>50–75 %</t>
        </is>
      </c>
      <c r="C17" s="18" t="inlineStr">
        <is>
          <t>Más de la mitad. +15 % de producto por saturación</t>
        </is>
      </c>
      <c r="D17" s="11" t="n">
        <v>15000</v>
      </c>
      <c r="E17" s="21" t="n">
        <v>0</v>
      </c>
    </row>
    <row r="18">
      <c r="A18" s="18" t="inlineStr">
        <is>
          <t>Canas</t>
        </is>
      </c>
      <c r="B18" s="18" t="inlineStr">
        <is>
          <t>75–100 %</t>
        </is>
      </c>
      <c r="C18" s="18" t="inlineStr">
        <is>
          <t>Casi todo cano. +20 % de producto y técnica de prepigmentación</t>
        </is>
      </c>
      <c r="D18" s="11" t="n">
        <v>25000</v>
      </c>
      <c r="E18" s="21" t="n">
        <v>0</v>
      </c>
    </row>
  </sheetData>
  <mergeCells count="1">
    <mergeCell ref="A2:E2"/>
  </mergeCell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0" customWidth="1" min="5" max="5"/>
    <col width="18" customWidth="1" min="6" max="6"/>
    <col width="18" customWidth="1" min="7" max="7"/>
    <col width="30" customWidth="1" min="8" max="8"/>
  </cols>
  <sheetData>
    <row r="1">
      <c r="A1" s="1" t="inlineStr">
        <is>
          <t>Productos y precio de compra</t>
        </is>
      </c>
      <c r="B1" s="2" t="n"/>
      <c r="C1" s="2" t="n"/>
      <c r="D1" s="2" t="n"/>
      <c r="E1" s="2" t="n"/>
      <c r="F1" s="2" t="n"/>
      <c r="G1" s="2" t="n"/>
      <c r="H1" s="2" t="n"/>
    </row>
    <row r="2" ht="30" customHeight="1">
      <c r="A2" s="8" t="inlineStr">
        <is>
          <t>Lo que más usa el salón y cuánto le cuesta. El costo por gramo o mililitro se calcula solo.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 ht="32" customHeight="1">
      <c r="A4" s="13" t="inlineStr">
        <is>
          <t>Producto</t>
        </is>
      </c>
      <c r="B4" s="13" t="inlineStr">
        <is>
          <t>Marca</t>
        </is>
      </c>
      <c r="C4" s="13" t="inlineStr">
        <is>
          <t>Tipo</t>
        </is>
      </c>
      <c r="D4" s="13" t="inlineStr">
        <is>
          <t>Presentación</t>
        </is>
      </c>
      <c r="E4" s="13" t="inlineStr">
        <is>
          <t>Unidad</t>
        </is>
      </c>
      <c r="F4" s="13" t="inlineStr">
        <is>
          <t>Precio de compra ($)</t>
        </is>
      </c>
      <c r="G4" s="13" t="inlineStr">
        <is>
          <t>Costo por g o ml ($)</t>
        </is>
      </c>
      <c r="H4" s="13" t="inlineStr">
        <is>
          <t>Notas</t>
        </is>
      </c>
    </row>
    <row r="5">
      <c r="A5" s="14" t="inlineStr">
        <is>
          <t>Ejemplo · Tinte 60 g</t>
        </is>
      </c>
      <c r="B5" s="14" t="inlineStr">
        <is>
          <t>Marca X</t>
        </is>
      </c>
      <c r="C5" s="14" t="inlineStr">
        <is>
          <t>Tinte</t>
        </is>
      </c>
      <c r="D5" s="14" t="n">
        <v>60</v>
      </c>
      <c r="E5" s="14" t="inlineStr">
        <is>
          <t>g</t>
        </is>
      </c>
      <c r="F5" s="15" t="n">
        <v>30000</v>
      </c>
      <c r="G5" s="19">
        <f>IF(OR(D5="",F5="",D5=0),"",F5/D5)</f>
        <v/>
      </c>
      <c r="H5" s="14" t="inlineStr">
        <is>
          <t>Precio ficticio</t>
        </is>
      </c>
    </row>
    <row r="6">
      <c r="A6" s="14" t="inlineStr">
        <is>
          <t>Ejemplo · Oxidante 20 vol</t>
        </is>
      </c>
      <c r="B6" s="14" t="inlineStr">
        <is>
          <t>Marca X</t>
        </is>
      </c>
      <c r="C6" s="14" t="inlineStr">
        <is>
          <t>Oxidante</t>
        </is>
      </c>
      <c r="D6" s="14" t="n">
        <v>1000</v>
      </c>
      <c r="E6" s="14" t="inlineStr">
        <is>
          <t>ml</t>
        </is>
      </c>
      <c r="F6" s="15" t="n">
        <v>30000</v>
      </c>
      <c r="G6" s="19">
        <f>IF(OR(D6="",F6="",D6=0),"",F6/D6)</f>
        <v/>
      </c>
      <c r="H6" s="14" t="inlineStr">
        <is>
          <t>Precio ficticio</t>
        </is>
      </c>
    </row>
    <row r="7">
      <c r="A7" s="5" t="n"/>
      <c r="B7" s="5" t="n"/>
      <c r="C7" s="5" t="n"/>
      <c r="D7" s="5" t="n"/>
      <c r="E7" s="5" t="n"/>
      <c r="F7" s="11" t="n"/>
      <c r="G7" s="19">
        <f>IF(OR(D7="",F7="",D7=0),"",F7/D7)</f>
        <v/>
      </c>
      <c r="H7" s="5" t="n"/>
    </row>
    <row r="8">
      <c r="A8" s="5" t="n"/>
      <c r="B8" s="5" t="n"/>
      <c r="C8" s="5" t="n"/>
      <c r="D8" s="5" t="n"/>
      <c r="E8" s="5" t="n"/>
      <c r="F8" s="11" t="n"/>
      <c r="G8" s="19">
        <f>IF(OR(D8="",F8="",D8=0),"",F8/D8)</f>
        <v/>
      </c>
      <c r="H8" s="5" t="n"/>
    </row>
    <row r="9">
      <c r="A9" s="5" t="n"/>
      <c r="B9" s="5" t="n"/>
      <c r="C9" s="5" t="n"/>
      <c r="D9" s="5" t="n"/>
      <c r="E9" s="5" t="n"/>
      <c r="F9" s="11" t="n"/>
      <c r="G9" s="19">
        <f>IF(OR(D9="",F9="",D9=0),"",F9/D9)</f>
        <v/>
      </c>
      <c r="H9" s="5" t="n"/>
    </row>
    <row r="10">
      <c r="A10" s="5" t="n"/>
      <c r="B10" s="5" t="n"/>
      <c r="C10" s="5" t="n"/>
      <c r="D10" s="5" t="n"/>
      <c r="E10" s="5" t="n"/>
      <c r="F10" s="11" t="n"/>
      <c r="G10" s="19">
        <f>IF(OR(D10="",F10="",D10=0),"",F10/D10)</f>
        <v/>
      </c>
      <c r="H10" s="5" t="n"/>
    </row>
    <row r="11">
      <c r="A11" s="5" t="n"/>
      <c r="B11" s="5" t="n"/>
      <c r="C11" s="5" t="n"/>
      <c r="D11" s="5" t="n"/>
      <c r="E11" s="5" t="n"/>
      <c r="F11" s="11" t="n"/>
      <c r="G11" s="19">
        <f>IF(OR(D11="",F11="",D11=0),"",F11/D11)</f>
        <v/>
      </c>
      <c r="H11" s="5" t="n"/>
    </row>
    <row r="12">
      <c r="A12" s="5" t="n"/>
      <c r="B12" s="5" t="n"/>
      <c r="C12" s="5" t="n"/>
      <c r="D12" s="5" t="n"/>
      <c r="E12" s="5" t="n"/>
      <c r="F12" s="11" t="n"/>
      <c r="G12" s="19">
        <f>IF(OR(D12="",F12="",D12=0),"",F12/D12)</f>
        <v/>
      </c>
      <c r="H12" s="5" t="n"/>
    </row>
    <row r="13">
      <c r="A13" s="5" t="n"/>
      <c r="B13" s="5" t="n"/>
      <c r="C13" s="5" t="n"/>
      <c r="D13" s="5" t="n"/>
      <c r="E13" s="5" t="n"/>
      <c r="F13" s="11" t="n"/>
      <c r="G13" s="19">
        <f>IF(OR(D13="",F13="",D13=0),"",F13/D13)</f>
        <v/>
      </c>
      <c r="H13" s="5" t="n"/>
    </row>
    <row r="14">
      <c r="A14" s="5" t="n"/>
      <c r="B14" s="5" t="n"/>
      <c r="C14" s="5" t="n"/>
      <c r="D14" s="5" t="n"/>
      <c r="E14" s="5" t="n"/>
      <c r="F14" s="11" t="n"/>
      <c r="G14" s="19">
        <f>IF(OR(D14="",F14="",D14=0),"",F14/D14)</f>
        <v/>
      </c>
      <c r="H14" s="5" t="n"/>
    </row>
    <row r="15">
      <c r="A15" s="5" t="n"/>
      <c r="B15" s="5" t="n"/>
      <c r="C15" s="5" t="n"/>
      <c r="D15" s="5" t="n"/>
      <c r="E15" s="5" t="n"/>
      <c r="F15" s="11" t="n"/>
      <c r="G15" s="19">
        <f>IF(OR(D15="",F15="",D15=0),"",F15/D15)</f>
        <v/>
      </c>
      <c r="H15" s="5" t="n"/>
    </row>
    <row r="16">
      <c r="A16" s="5" t="n"/>
      <c r="B16" s="5" t="n"/>
      <c r="C16" s="5" t="n"/>
      <c r="D16" s="5" t="n"/>
      <c r="E16" s="5" t="n"/>
      <c r="F16" s="11" t="n"/>
      <c r="G16" s="19">
        <f>IF(OR(D16="",F16="",D16=0),"",F16/D16)</f>
        <v/>
      </c>
      <c r="H16" s="5" t="n"/>
    </row>
    <row r="17">
      <c r="A17" s="5" t="n"/>
      <c r="B17" s="5" t="n"/>
      <c r="C17" s="5" t="n"/>
      <c r="D17" s="5" t="n"/>
      <c r="E17" s="5" t="n"/>
      <c r="F17" s="11" t="n"/>
      <c r="G17" s="19">
        <f>IF(OR(D17="",F17="",D17=0),"",F17/D17)</f>
        <v/>
      </c>
      <c r="H17" s="5" t="n"/>
    </row>
    <row r="18">
      <c r="A18" s="5" t="n"/>
      <c r="B18" s="5" t="n"/>
      <c r="C18" s="5" t="n"/>
      <c r="D18" s="5" t="n"/>
      <c r="E18" s="5" t="n"/>
      <c r="F18" s="11" t="n"/>
      <c r="G18" s="19">
        <f>IF(OR(D18="",F18="",D18=0),"",F18/D18)</f>
        <v/>
      </c>
      <c r="H18" s="5" t="n"/>
    </row>
    <row r="19">
      <c r="A19" s="5" t="n"/>
      <c r="B19" s="5" t="n"/>
      <c r="C19" s="5" t="n"/>
      <c r="D19" s="5" t="n"/>
      <c r="E19" s="5" t="n"/>
      <c r="F19" s="11" t="n"/>
      <c r="G19" s="19">
        <f>IF(OR(D19="",F19="",D19=0),"",F19/D19)</f>
        <v/>
      </c>
      <c r="H19" s="5" t="n"/>
    </row>
    <row r="20">
      <c r="A20" s="5" t="n"/>
      <c r="B20" s="5" t="n"/>
      <c r="C20" s="5" t="n"/>
      <c r="D20" s="5" t="n"/>
      <c r="E20" s="5" t="n"/>
      <c r="F20" s="11" t="n"/>
      <c r="G20" s="19">
        <f>IF(OR(D20="",F20="",D20=0),"",F20/D20)</f>
        <v/>
      </c>
      <c r="H20" s="5" t="n"/>
    </row>
    <row r="21">
      <c r="A21" s="5" t="n"/>
      <c r="B21" s="5" t="n"/>
      <c r="C21" s="5" t="n"/>
      <c r="D21" s="5" t="n"/>
      <c r="E21" s="5" t="n"/>
      <c r="F21" s="11" t="n"/>
      <c r="G21" s="19">
        <f>IF(OR(D21="",F21="",D21=0),"",F21/D21)</f>
        <v/>
      </c>
      <c r="H21" s="5" t="n"/>
    </row>
    <row r="22">
      <c r="A22" s="5" t="n"/>
      <c r="B22" s="5" t="n"/>
      <c r="C22" s="5" t="n"/>
      <c r="D22" s="5" t="n"/>
      <c r="E22" s="5" t="n"/>
      <c r="F22" s="11" t="n"/>
      <c r="G22" s="19">
        <f>IF(OR(D22="",F22="",D22=0),"",F22/D22)</f>
        <v/>
      </c>
      <c r="H22" s="5" t="n"/>
    </row>
    <row r="23">
      <c r="A23" s="5" t="n"/>
      <c r="B23" s="5" t="n"/>
      <c r="C23" s="5" t="n"/>
      <c r="D23" s="5" t="n"/>
      <c r="E23" s="5" t="n"/>
      <c r="F23" s="11" t="n"/>
      <c r="G23" s="19">
        <f>IF(OR(D23="",F23="",D23=0),"",F23/D23)</f>
        <v/>
      </c>
      <c r="H23" s="5" t="n"/>
    </row>
    <row r="24">
      <c r="A24" s="5" t="n"/>
      <c r="B24" s="5" t="n"/>
      <c r="C24" s="5" t="n"/>
      <c r="D24" s="5" t="n"/>
      <c r="E24" s="5" t="n"/>
      <c r="F24" s="11" t="n"/>
      <c r="G24" s="19">
        <f>IF(OR(D24="",F24="",D24=0),"",F24/D24)</f>
        <v/>
      </c>
      <c r="H24" s="5" t="n"/>
    </row>
    <row r="25">
      <c r="A25" s="5" t="n"/>
      <c r="B25" s="5" t="n"/>
      <c r="C25" s="5" t="n"/>
      <c r="D25" s="5" t="n"/>
      <c r="E25" s="5" t="n"/>
      <c r="F25" s="11" t="n"/>
      <c r="G25" s="19">
        <f>IF(OR(D25="",F25="",D25=0),"",F25/D25)</f>
        <v/>
      </c>
      <c r="H25" s="5" t="n"/>
    </row>
    <row r="26">
      <c r="A26" s="5" t="n"/>
      <c r="B26" s="5" t="n"/>
      <c r="C26" s="5" t="n"/>
      <c r="D26" s="5" t="n"/>
      <c r="E26" s="5" t="n"/>
      <c r="F26" s="11" t="n"/>
      <c r="G26" s="19">
        <f>IF(OR(D26="",F26="",D26=0),"",F26/D26)</f>
        <v/>
      </c>
      <c r="H26" s="5" t="n"/>
    </row>
    <row r="27">
      <c r="A27" s="5" t="n"/>
      <c r="B27" s="5" t="n"/>
      <c r="C27" s="5" t="n"/>
      <c r="D27" s="5" t="n"/>
      <c r="E27" s="5" t="n"/>
      <c r="F27" s="11" t="n"/>
      <c r="G27" s="19">
        <f>IF(OR(D27="",F27="",D27=0),"",F27/D27)</f>
        <v/>
      </c>
      <c r="H27" s="5" t="n"/>
    </row>
    <row r="28">
      <c r="A28" s="5" t="n"/>
      <c r="B28" s="5" t="n"/>
      <c r="C28" s="5" t="n"/>
      <c r="D28" s="5" t="n"/>
      <c r="E28" s="5" t="n"/>
      <c r="F28" s="11" t="n"/>
      <c r="G28" s="19">
        <f>IF(OR(D28="",F28="",D28=0),"",F28/D28)</f>
        <v/>
      </c>
      <c r="H28" s="5" t="n"/>
    </row>
    <row r="29">
      <c r="A29" s="5" t="n"/>
      <c r="B29" s="5" t="n"/>
      <c r="C29" s="5" t="n"/>
      <c r="D29" s="5" t="n"/>
      <c r="E29" s="5" t="n"/>
      <c r="F29" s="11" t="n"/>
      <c r="G29" s="19">
        <f>IF(OR(D29="",F29="",D29=0),"",F29/D29)</f>
        <v/>
      </c>
      <c r="H29" s="5" t="n"/>
    </row>
    <row r="30">
      <c r="A30" s="5" t="n"/>
      <c r="B30" s="5" t="n"/>
      <c r="C30" s="5" t="n"/>
      <c r="D30" s="5" t="n"/>
      <c r="E30" s="5" t="n"/>
      <c r="F30" s="11" t="n"/>
      <c r="G30" s="19">
        <f>IF(OR(D30="",F30="",D30=0),"",F30/D30)</f>
        <v/>
      </c>
      <c r="H30" s="5" t="n"/>
    </row>
    <row r="31">
      <c r="A31" s="5" t="n"/>
      <c r="B31" s="5" t="n"/>
      <c r="C31" s="5" t="n"/>
      <c r="D31" s="5" t="n"/>
      <c r="E31" s="5" t="n"/>
      <c r="F31" s="11" t="n"/>
      <c r="G31" s="19">
        <f>IF(OR(D31="",F31="",D31=0),"",F31/D31)</f>
        <v/>
      </c>
      <c r="H31" s="5" t="n"/>
    </row>
    <row r="32">
      <c r="A32" s="5" t="n"/>
      <c r="B32" s="5" t="n"/>
      <c r="C32" s="5" t="n"/>
      <c r="D32" s="5" t="n"/>
      <c r="E32" s="5" t="n"/>
      <c r="F32" s="11" t="n"/>
      <c r="G32" s="19">
        <f>IF(OR(D32="",F32="",D32=0),"",F32/D32)</f>
        <v/>
      </c>
      <c r="H32" s="5" t="n"/>
    </row>
    <row r="33">
      <c r="A33" s="5" t="n"/>
      <c r="B33" s="5" t="n"/>
      <c r="C33" s="5" t="n"/>
      <c r="D33" s="5" t="n"/>
      <c r="E33" s="5" t="n"/>
      <c r="F33" s="11" t="n"/>
      <c r="G33" s="19">
        <f>IF(OR(D33="",F33="",D33=0),"",F33/D33)</f>
        <v/>
      </c>
      <c r="H33" s="5" t="n"/>
    </row>
    <row r="34">
      <c r="A34" s="5" t="n"/>
      <c r="B34" s="5" t="n"/>
      <c r="C34" s="5" t="n"/>
      <c r="D34" s="5" t="n"/>
      <c r="E34" s="5" t="n"/>
      <c r="F34" s="11" t="n"/>
      <c r="G34" s="19">
        <f>IF(OR(D34="",F34="",D34=0),"",F34/D34)</f>
        <v/>
      </c>
      <c r="H34" s="5" t="n"/>
    </row>
  </sheetData>
  <mergeCells count="1">
    <mergeCell ref="A2:H2"/>
  </mergeCells>
  <dataValidations count="2">
    <dataValidation sqref="C5:C34" showDropDown="0" showInputMessage="0" showErrorMessage="0" allowBlank="1" errorTitle="Valor no válido" error="Elige un valor de la lista." type="list">
      <formula1>"Tinte,Oxidante,Decolorante,Matizador,Tratamiento,Otro"</formula1>
    </dataValidation>
    <dataValidation sqref="E5:E34" showDropDown="0" showInputMessage="0" showErrorMessage="0" allowBlank="1" errorTitle="Valor no válido" error="Elige un valor de la lista." type="list">
      <formula1>"g,ml,unidad"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8" customWidth="1" min="3" max="3"/>
  </cols>
  <sheetData>
    <row r="1">
      <c r="A1" s="1" t="inlineStr">
        <is>
          <t>Consumo de producto en servicios de color</t>
        </is>
      </c>
      <c r="B1" s="2" t="n"/>
      <c r="C1" s="2" t="n"/>
    </row>
    <row r="2" ht="30" customHeight="1">
      <c r="A2" s="8" t="inlineStr">
        <is>
          <t>La calculadora de color de Velli formula un tubo (60 g por defecto). Aquí el salón dice cuánto más gasta según el largo, la densidad y las canas. Pregúntale a la estilista que más color hace.</t>
        </is>
      </c>
      <c r="B2" s="2" t="n"/>
      <c r="C2" s="2" t="n"/>
    </row>
    <row r="3">
      <c r="A3" s="2" t="n"/>
      <c r="B3" s="2" t="n"/>
      <c r="C3" s="2" t="n"/>
    </row>
    <row r="4">
      <c r="A4" s="9" t="inlineStr">
        <is>
          <t>Oxidante por cada gramo de tinte (1:1,5 → 1,5)</t>
        </is>
      </c>
      <c r="B4" s="22" t="n">
        <v>1.5</v>
      </c>
      <c r="C4" s="2" t="n"/>
    </row>
    <row r="5">
      <c r="A5" s="2" t="n"/>
      <c r="B5" s="2" t="n"/>
      <c r="C5" s="2" t="n"/>
    </row>
    <row r="6" ht="32" customHeight="1">
      <c r="A6" s="13" t="inlineStr">
        <is>
          <t>Variable</t>
        </is>
      </c>
      <c r="B6" s="13" t="inlineStr">
        <is>
          <t>Valor</t>
        </is>
      </c>
      <c r="C6" s="13" t="inlineStr">
        <is>
          <t>Factor de consumo</t>
        </is>
      </c>
    </row>
    <row r="7">
      <c r="A7" s="18" t="inlineStr">
        <is>
          <t>Largo</t>
        </is>
      </c>
      <c r="B7" s="7">
        <f>Ajustes!B5</f>
        <v/>
      </c>
      <c r="C7" s="22" t="n">
        <v>1</v>
      </c>
    </row>
    <row r="8">
      <c r="A8" s="18" t="inlineStr">
        <is>
          <t>Largo</t>
        </is>
      </c>
      <c r="B8" s="7">
        <f>Ajustes!B6</f>
        <v/>
      </c>
      <c r="C8" s="22" t="n">
        <v>1.5</v>
      </c>
    </row>
    <row r="9">
      <c r="A9" s="18" t="inlineStr">
        <is>
          <t>Largo</t>
        </is>
      </c>
      <c r="B9" s="7">
        <f>Ajustes!B7</f>
        <v/>
      </c>
      <c r="C9" s="22" t="n">
        <v>2</v>
      </c>
    </row>
    <row r="10">
      <c r="A10" s="18" t="inlineStr">
        <is>
          <t>Largo</t>
        </is>
      </c>
      <c r="B10" s="7">
        <f>Ajustes!B8</f>
        <v/>
      </c>
      <c r="C10" s="22" t="n">
        <v>3</v>
      </c>
    </row>
    <row r="11">
      <c r="A11" s="18" t="inlineStr">
        <is>
          <t>Densidad</t>
        </is>
      </c>
      <c r="B11" s="7">
        <f>Ajustes!B9</f>
        <v/>
      </c>
      <c r="C11" s="22" t="n">
        <v>0.8</v>
      </c>
    </row>
    <row r="12">
      <c r="A12" s="18" t="inlineStr">
        <is>
          <t>Densidad</t>
        </is>
      </c>
      <c r="B12" s="7">
        <f>Ajustes!B10</f>
        <v/>
      </c>
      <c r="C12" s="22" t="n">
        <v>1</v>
      </c>
    </row>
    <row r="13">
      <c r="A13" s="18" t="inlineStr">
        <is>
          <t>Densidad</t>
        </is>
      </c>
      <c r="B13" s="7">
        <f>Ajustes!B11</f>
        <v/>
      </c>
      <c r="C13" s="22" t="n">
        <v>1.3</v>
      </c>
    </row>
    <row r="14">
      <c r="A14" s="18" t="inlineStr">
        <is>
          <t>Canas</t>
        </is>
      </c>
      <c r="B14" s="7">
        <f>Ajustes!B15</f>
        <v/>
      </c>
      <c r="C14" s="22" t="n">
        <v>1</v>
      </c>
    </row>
    <row r="15">
      <c r="A15" s="18" t="inlineStr">
        <is>
          <t>Canas</t>
        </is>
      </c>
      <c r="B15" s="7">
        <f>Ajustes!B16</f>
        <v/>
      </c>
      <c r="C15" s="22" t="n">
        <v>1</v>
      </c>
    </row>
    <row r="16">
      <c r="A16" s="18" t="inlineStr">
        <is>
          <t>Canas</t>
        </is>
      </c>
      <c r="B16" s="7">
        <f>Ajustes!B17</f>
        <v/>
      </c>
      <c r="C16" s="22" t="n">
        <v>1.15</v>
      </c>
    </row>
    <row r="17">
      <c r="A17" s="18" t="inlineStr">
        <is>
          <t>Canas</t>
        </is>
      </c>
      <c r="B17" s="7">
        <f>Ajustes!B18</f>
        <v/>
      </c>
      <c r="C17" s="22" t="n">
        <v>1.2</v>
      </c>
    </row>
  </sheetData>
  <mergeCells count="1">
    <mergeCell ref="A2:C2"/>
  </mergeCell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1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22" customWidth="1" min="3" max="3"/>
    <col width="24" customWidth="1" min="4" max="4"/>
    <col width="34" customWidth="1" min="5" max="5"/>
  </cols>
  <sheetData>
    <row r="1">
      <c r="A1" s="1" t="inlineStr">
        <is>
          <t>Comisiones por estilista</t>
        </is>
      </c>
      <c r="B1" s="2" t="n"/>
      <c r="C1" s="2" t="n"/>
      <c r="D1" s="2" t="n"/>
      <c r="E1" s="2" t="n"/>
    </row>
    <row r="2" ht="30" customHeight="1">
      <c r="A2" s="8" t="inlineStr">
        <is>
          <t>Porcentaje que recibe cada estilista. Si en color recibe otro porcentaje, llena esa columna; si no, se usa el general.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 ht="32" customHeight="1">
      <c r="A4" s="13" t="inlineStr">
        <is>
          <t>Estilista</t>
        </is>
      </c>
      <c r="B4" s="13" t="inlineStr">
        <is>
          <t>% general</t>
        </is>
      </c>
      <c r="C4" s="13" t="inlineStr">
        <is>
          <t>% en servicios de color (opcional)</t>
        </is>
      </c>
      <c r="D4" s="13" t="inlineStr">
        <is>
          <t>Se calcula sobre</t>
        </is>
      </c>
      <c r="E4" s="13" t="inlineStr">
        <is>
          <t>Notas</t>
        </is>
      </c>
    </row>
    <row r="5">
      <c r="A5" s="14" t="inlineStr">
        <is>
          <t>Ejemplo · Caro</t>
        </is>
      </c>
      <c r="B5" s="23" t="n">
        <v>0.4</v>
      </c>
      <c r="C5" s="23" t="n"/>
      <c r="D5" s="14" t="inlineStr">
        <is>
          <t>Precio</t>
        </is>
      </c>
      <c r="E5" s="14" t="inlineStr">
        <is>
          <t>Comisión de ejemplo</t>
        </is>
      </c>
    </row>
    <row r="6">
      <c r="A6" s="5" t="n"/>
      <c r="B6" s="21" t="n"/>
      <c r="C6" s="21" t="n"/>
      <c r="D6" s="5" t="n"/>
      <c r="E6" s="5" t="n"/>
    </row>
    <row r="7">
      <c r="A7" s="5" t="n"/>
      <c r="B7" s="21" t="n"/>
      <c r="C7" s="21" t="n"/>
      <c r="D7" s="5" t="n"/>
      <c r="E7" s="5" t="n"/>
    </row>
    <row r="8">
      <c r="A8" s="5" t="n"/>
      <c r="B8" s="21" t="n"/>
      <c r="C8" s="21" t="n"/>
      <c r="D8" s="5" t="n"/>
      <c r="E8" s="5" t="n"/>
    </row>
    <row r="9">
      <c r="A9" s="5" t="n"/>
      <c r="B9" s="21" t="n"/>
      <c r="C9" s="21" t="n"/>
      <c r="D9" s="5" t="n"/>
      <c r="E9" s="5" t="n"/>
    </row>
    <row r="10">
      <c r="A10" s="5" t="n"/>
      <c r="B10" s="21" t="n"/>
      <c r="C10" s="21" t="n"/>
      <c r="D10" s="5" t="n"/>
      <c r="E10" s="5" t="n"/>
    </row>
    <row r="11">
      <c r="A11" s="5" t="n"/>
      <c r="B11" s="21" t="n"/>
      <c r="C11" s="21" t="n"/>
      <c r="D11" s="5" t="n"/>
      <c r="E11" s="5" t="n"/>
    </row>
    <row r="12">
      <c r="A12" s="5" t="n"/>
      <c r="B12" s="21" t="n"/>
      <c r="C12" s="21" t="n"/>
      <c r="D12" s="5" t="n"/>
      <c r="E12" s="5" t="n"/>
    </row>
    <row r="13">
      <c r="A13" s="5" t="n"/>
      <c r="B13" s="21" t="n"/>
      <c r="C13" s="21" t="n"/>
      <c r="D13" s="5" t="n"/>
      <c r="E13" s="5" t="n"/>
    </row>
    <row r="14">
      <c r="A14" s="5" t="n"/>
      <c r="B14" s="21" t="n"/>
      <c r="C14" s="21" t="n"/>
      <c r="D14" s="5" t="n"/>
      <c r="E14" s="5" t="n"/>
    </row>
    <row r="15">
      <c r="A15" s="5" t="n"/>
      <c r="B15" s="21" t="n"/>
      <c r="C15" s="21" t="n"/>
      <c r="D15" s="5" t="n"/>
      <c r="E15" s="5" t="n"/>
    </row>
    <row r="16">
      <c r="A16" s="5" t="n"/>
      <c r="B16" s="21" t="n"/>
      <c r="C16" s="21" t="n"/>
      <c r="D16" s="5" t="n"/>
      <c r="E16" s="5" t="n"/>
    </row>
    <row r="17">
      <c r="A17" s="5" t="n"/>
      <c r="B17" s="21" t="n"/>
      <c r="C17" s="21" t="n"/>
      <c r="D17" s="5" t="n"/>
      <c r="E17" s="5" t="n"/>
    </row>
    <row r="18">
      <c r="A18" s="5" t="n"/>
      <c r="B18" s="21" t="n"/>
      <c r="C18" s="21" t="n"/>
      <c r="D18" s="5" t="n"/>
      <c r="E18" s="5" t="n"/>
    </row>
    <row r="19">
      <c r="A19" s="5" t="n"/>
      <c r="B19" s="21" t="n"/>
      <c r="C19" s="21" t="n"/>
      <c r="D19" s="5" t="n"/>
      <c r="E19" s="5" t="n"/>
    </row>
  </sheetData>
  <mergeCells count="1">
    <mergeCell ref="A2:E2"/>
  </mergeCells>
  <dataValidations count="1">
    <dataValidation sqref="D5:D19" showDropDown="0" showInputMessage="0" showErrorMessage="0" allowBlank="1" errorTitle="Valor no válido" error="Elige un valor de la lista." type="list">
      <formula1>"Precio,Precio menos producto"</formula1>
    </dataValidation>
  </dataValidation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4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6" customWidth="1" min="2" max="2"/>
    <col width="50" customWidth="1" min="3" max="3"/>
  </cols>
  <sheetData>
    <row r="1">
      <c r="A1" s="1" t="inlineStr">
        <is>
          <t>Simulador de una cotización</t>
        </is>
      </c>
      <c r="B1" s="2" t="n"/>
      <c r="C1" s="2" t="n"/>
    </row>
    <row r="2" ht="30" customHeight="1">
      <c r="A2" s="8" t="inlineStr">
        <is>
          <t>Elige el servicio y las variables. La hoja calcula el precio, el costo de producto, la comisión y el margen.</t>
        </is>
      </c>
      <c r="B2" s="2" t="n"/>
      <c r="C2" s="2" t="n"/>
    </row>
    <row r="3">
      <c r="A3" s="24" t="inlineStr">
        <is>
          <t>Datos de la cotización</t>
        </is>
      </c>
      <c r="B3" s="2" t="n"/>
      <c r="C3" s="2" t="n"/>
    </row>
    <row r="4">
      <c r="A4" s="9" t="inlineStr">
        <is>
          <t>Servicio</t>
        </is>
      </c>
      <c r="B4" s="5" t="inlineStr">
        <is>
          <t>Ejemplo · Tinte completo</t>
        </is>
      </c>
      <c r="C4" s="2" t="n"/>
    </row>
    <row r="5">
      <c r="A5" s="9" t="inlineStr">
        <is>
          <t>Largo</t>
        </is>
      </c>
      <c r="B5" s="5" t="inlineStr">
        <is>
          <t>Medio</t>
        </is>
      </c>
      <c r="C5" s="2" t="n"/>
    </row>
    <row r="6">
      <c r="A6" s="9" t="inlineStr">
        <is>
          <t>Densidad</t>
        </is>
      </c>
      <c r="B6" s="5" t="inlineStr">
        <is>
          <t>Alta</t>
        </is>
      </c>
      <c r="C6" s="2" t="n"/>
    </row>
    <row r="7">
      <c r="A7" s="9" t="inlineStr">
        <is>
          <t>Estado de la fibra</t>
        </is>
      </c>
      <c r="B7" s="5" t="inlineStr">
        <is>
          <t>Sana / virgen</t>
        </is>
      </c>
      <c r="C7" s="2" t="n"/>
    </row>
    <row r="8">
      <c r="A8" s="9" t="inlineStr">
        <is>
          <t>Canas</t>
        </is>
      </c>
      <c r="B8" s="5" t="inlineStr">
        <is>
          <t>50–75 %</t>
        </is>
      </c>
      <c r="C8" s="2" t="n"/>
    </row>
    <row r="9">
      <c r="A9" s="9" t="inlineStr">
        <is>
          <t>Estilista que atiende</t>
        </is>
      </c>
      <c r="B9" s="5" t="inlineStr">
        <is>
          <t>Ejemplo · Caro</t>
        </is>
      </c>
      <c r="C9" s="2" t="n"/>
    </row>
    <row r="10">
      <c r="A10" s="9" t="inlineStr">
        <is>
          <t>Tinte que se usa</t>
        </is>
      </c>
      <c r="B10" s="5" t="inlineStr">
        <is>
          <t>Ejemplo · Tinte 60 g</t>
        </is>
      </c>
      <c r="C10" s="2" t="n"/>
    </row>
    <row r="11">
      <c r="A11" s="9" t="inlineStr">
        <is>
          <t>Oxidante que se usa</t>
        </is>
      </c>
      <c r="B11" s="5" t="inlineStr">
        <is>
          <t>Ejemplo · Oxidante 20 vol</t>
        </is>
      </c>
      <c r="C11" s="2" t="n"/>
    </row>
    <row r="12">
      <c r="A12" s="2" t="n"/>
      <c r="B12" s="2" t="n"/>
      <c r="C12" s="2" t="n"/>
    </row>
    <row r="13">
      <c r="A13" s="24" t="inlineStr">
        <is>
          <t>Precio</t>
        </is>
      </c>
      <c r="B13" s="2" t="n"/>
      <c r="C13" s="2" t="n"/>
    </row>
    <row r="14">
      <c r="A14" s="2" t="inlineStr">
        <is>
          <t>Fila del servicio (dato interno)</t>
        </is>
      </c>
      <c r="B14" s="25">
        <f>IFERROR(MATCH($B$4,Servicios!$A$9:$A$38,0),0)</f>
        <v/>
      </c>
      <c r="C14" s="2" t="n"/>
    </row>
    <row r="15">
      <c r="A15" s="2" t="inlineStr">
        <is>
          <t>Precio base</t>
        </is>
      </c>
      <c r="B15" s="19">
        <f>IF($B$14=0,0,INDEX(Servicios!$C$9:$C$38,MAX(1,$B$14)))</f>
        <v/>
      </c>
      <c r="C15" s="2" t="n"/>
    </row>
    <row r="16">
      <c r="A16" s="2" t="inlineStr">
        <is>
          <t>Suma por variables</t>
        </is>
      </c>
      <c r="B16" s="19">
        <f>IF($B$14=0,0,IF(INDEX(Servicios!$D$9:$D$38,MAX(1,$B$14))="Sí",SUMIFS(Ajustes!$D$5:$D$18,Ajustes!$A$5:$A$18,"Largo",Ajustes!$B$5:$B$18,""&amp;$B$5),0)+IF(INDEX(Servicios!$E$9:$E$38,MAX(1,$B$14))="Sí",SUMIFS(Ajustes!$D$5:$D$18,Ajustes!$A$5:$A$18,"Densidad",Ajustes!$B$5:$B$18,""&amp;$B$6),0)+IF(INDEX(Servicios!$F$9:$F$38,MAX(1,$B$14))="Sí",SUMIFS(Ajustes!$D$5:$D$18,Ajustes!$A$5:$A$18,"Estado de la fibra",Ajustes!$B$5:$B$18,""&amp;$B$7),0)+IF(INDEX(Servicios!$G$9:$G$38,MAX(1,$B$14))="Sí",SUMIFS(Ajustes!$D$5:$D$18,Ajustes!$A$5:$A$18,"Canas",Ajustes!$B$5:$B$18,""&amp;$B$8),0))</f>
        <v/>
      </c>
      <c r="C16" s="26" t="inlineStr">
        <is>
          <t>Sumas fijas de Ajustes, solo de las variables que aplican a este servicio.</t>
        </is>
      </c>
    </row>
    <row r="17">
      <c r="A17" s="2" t="inlineStr">
        <is>
          <t>Porcentaje por variables</t>
        </is>
      </c>
      <c r="B17" s="20">
        <f>IF($B$14=0,0,IF(INDEX(Servicios!$D$9:$D$38,MAX(1,$B$14))="Sí",SUMIFS(Ajustes!$E$5:$E$18,Ajustes!$A$5:$A$18,"Largo",Ajustes!$B$5:$B$18,""&amp;$B$5),0)+IF(INDEX(Servicios!$E$9:$E$38,MAX(1,$B$14))="Sí",SUMIFS(Ajustes!$E$5:$E$18,Ajustes!$A$5:$A$18,"Densidad",Ajustes!$B$5:$B$18,""&amp;$B$6),0)+IF(INDEX(Servicios!$F$9:$F$38,MAX(1,$B$14))="Sí",SUMIFS(Ajustes!$E$5:$E$18,Ajustes!$A$5:$A$18,"Estado de la fibra",Ajustes!$B$5:$B$18,""&amp;$B$7),0)+IF(INDEX(Servicios!$G$9:$G$38,MAX(1,$B$14))="Sí",SUMIFS(Ajustes!$E$5:$E$18,Ajustes!$A$5:$A$18,"Canas",Ajustes!$B$5:$B$18,""&amp;$B$8),0))</f>
        <v/>
      </c>
      <c r="C17" s="26" t="inlineStr">
        <is>
          <t>Porcentajes de Ajustes, solo de las variables que aplican a este servicio.</t>
        </is>
      </c>
    </row>
    <row r="18">
      <c r="A18" s="2" t="inlineStr">
        <is>
          <t>Precio sin redondear</t>
        </is>
      </c>
      <c r="B18" s="19">
        <f>(B15+B16)*(1+B17)</f>
        <v/>
      </c>
      <c r="C18" s="2" t="n"/>
    </row>
    <row r="19">
      <c r="A19" s="9" t="inlineStr">
        <is>
          <t>Precio de la cotización</t>
        </is>
      </c>
      <c r="B19" s="27">
        <f>IF($B$14=0,0,ROUND((INDEX(Servicios!$C$9:$C$38,MAX(1,$B$14))+IF(INDEX(Servicios!$D$9:$D$38,MAX(1,$B$14))="Sí",SUMIFS(Ajustes!$D$5:$D$18,Ajustes!$A$5:$A$18,"Largo",Ajustes!$B$5:$B$18,""&amp;$B$5),0)+IF(INDEX(Servicios!$E$9:$E$38,MAX(1,$B$14))="Sí",SUMIFS(Ajustes!$D$5:$D$18,Ajustes!$A$5:$A$18,"Densidad",Ajustes!$B$5:$B$18,""&amp;$B$6),0)+IF(INDEX(Servicios!$F$9:$F$38,MAX(1,$B$14))="Sí",SUMIFS(Ajustes!$D$5:$D$18,Ajustes!$A$5:$A$18,"Estado de la fibra",Ajustes!$B$5:$B$18,""&amp;$B$7),0)+IF(INDEX(Servicios!$G$9:$G$38,MAX(1,$B$14))="Sí",SUMIFS(Ajustes!$D$5:$D$18,Ajustes!$A$5:$A$18,"Canas",Ajustes!$B$5:$B$18,""&amp;$B$8),0))*(1+IF(INDEX(Servicios!$D$9:$D$38,MAX(1,$B$14))="Sí",SUMIFS(Ajustes!$E$5:$E$18,Ajustes!$A$5:$A$18,"Largo",Ajustes!$B$5:$B$18,""&amp;$B$5),0)+IF(INDEX(Servicios!$E$9:$E$38,MAX(1,$B$14))="Sí",SUMIFS(Ajustes!$E$5:$E$18,Ajustes!$A$5:$A$18,"Densidad",Ajustes!$B$5:$B$18,""&amp;$B$6),0)+IF(INDEX(Servicios!$F$9:$F$38,MAX(1,$B$14))="Sí",SUMIFS(Ajustes!$E$5:$E$18,Ajustes!$A$5:$A$18,"Estado de la fibra",Ajustes!$B$5:$B$18,""&amp;$B$7),0)+IF(INDEX(Servicios!$G$9:$G$38,MAX(1,$B$14))="Sí",SUMIFS(Ajustes!$E$5:$E$18,Ajustes!$A$5:$A$18,"Canas",Ajustes!$B$5:$B$18,""&amp;$B$8),0))/MAX(1,Servicios!$E$5),0)*MAX(1,Servicios!$E$5))</f>
        <v/>
      </c>
      <c r="C19" s="26" t="inlineStr">
        <is>
          <t>Redondeado al múltiplo de Servicios › Redondeo.</t>
        </is>
      </c>
    </row>
    <row r="20">
      <c r="A20" s="2" t="inlineStr">
        <is>
          <t>Válida hasta</t>
        </is>
      </c>
      <c r="B20" s="28">
        <f>TODAY()+Servicios!$B$6</f>
        <v/>
      </c>
      <c r="C20" s="2" t="n"/>
    </row>
    <row r="21">
      <c r="A21" s="2" t="inlineStr">
        <is>
          <t>Avisos del estándar</t>
        </is>
      </c>
      <c r="B21" s="6">
        <f>IF($B$14=0,"",IF(AND($B$7="Sensibilizada / muy dañada",OR(INDEX(Servicios!$B$9:$B$38,MAX(1,$B$14))="color",INDEX(Servicios!$B$9:$B$38,MAX(1,$B$14))="decoloración",INDEX(Servicios!$B$9:$B$38,MAX(1,$B$14))="alisado")),"Obligatorio: prueba de mechón y aditivo protector Plex.","")&amp;IF($B$7="Procesada / porosa","Sugerir un tratamiento sellante.","")&amp;IF(AND(OR(AND($B$7="Sensibilizada / muy dañada",OR(INDEX(Servicios!$B$9:$B$38,MAX(1,$B$14))="color",INDEX(Servicios!$B$9:$B$38,MAX(1,$B$14))="decoloración",INDEX(Servicios!$B$9:$B$38,MAX(1,$B$14))="alisado")),$B$7="Procesada / porosa"),AND($B$8="75–100 %",B23="Sí"))," ","")&amp;IF(AND($B$8="75–100 %",B23="Sí"),"Técnica de prepigmentación.",""))</f>
        <v/>
      </c>
      <c r="C21" s="26" t="inlineStr">
        <is>
          <t>Del estándar de Velli: estado de la fibra y canas. La prueba de mechón aplica a servicios químicos.</t>
        </is>
      </c>
    </row>
    <row r="22">
      <c r="A22" s="24" t="inlineStr">
        <is>
          <t>Costo de producto (servicios con fórmula de color)</t>
        </is>
      </c>
      <c r="B22" s="2" t="n"/>
      <c r="C22" s="2" t="n"/>
    </row>
    <row r="23">
      <c r="A23" s="2" t="inlineStr">
        <is>
          <t>¿Usa fórmula de color?</t>
        </is>
      </c>
      <c r="B23" s="6">
        <f>IF($B$14=0,"",INDEX(Servicios!$H$9:$H$38,MAX(1,$B$14)))</f>
        <v/>
      </c>
      <c r="C23" s="2" t="n"/>
    </row>
    <row r="24">
      <c r="A24" s="2" t="inlineStr">
        <is>
          <t>Gramos de tinte base</t>
        </is>
      </c>
      <c r="B24" s="29">
        <f>IF($B$14=0,0,INDEX(Servicios!$I$9:$I$38,MAX(1,$B$14)))</f>
        <v/>
      </c>
      <c r="C24" s="2" t="n"/>
    </row>
    <row r="25">
      <c r="A25" s="2" t="inlineStr">
        <is>
          <t>Factor por largo</t>
        </is>
      </c>
      <c r="B25" s="30">
        <f>SUMIFS(Consumo!$C$7:$C$17,Consumo!$A$7:$A$17,"Largo",Consumo!$B$7:$B$17,$B$5)</f>
        <v/>
      </c>
      <c r="C25" s="2" t="n"/>
    </row>
    <row r="26">
      <c r="A26" s="2" t="inlineStr">
        <is>
          <t>Factor por densidad</t>
        </is>
      </c>
      <c r="B26" s="30">
        <f>SUMIFS(Consumo!$C$7:$C$17,Consumo!$A$7:$A$17,"Densidad",Consumo!$B$7:$B$17,$B$6)</f>
        <v/>
      </c>
      <c r="C26" s="2" t="n"/>
    </row>
    <row r="27">
      <c r="A27" s="2" t="inlineStr">
        <is>
          <t>Factor por canas</t>
        </is>
      </c>
      <c r="B27" s="30">
        <f>SUMIFS(Consumo!$C$7:$C$17,Consumo!$A$7:$A$17,"Canas",Consumo!$B$7:$B$17,$B$8)</f>
        <v/>
      </c>
      <c r="C27" s="26" t="inlineStr">
        <is>
          <t>Estándar: 50–75 % de canas suma 15 % de producto; 75–100 %, 20 %.</t>
        </is>
      </c>
    </row>
    <row r="28">
      <c r="A28" s="2" t="inlineStr">
        <is>
          <t>Gramos de tinte estimados</t>
        </is>
      </c>
      <c r="B28" s="29">
        <f>IF(B23="Sí",B24*B25*B26*B27,0)</f>
        <v/>
      </c>
      <c r="C28" s="26" t="inlineStr">
        <is>
          <t>Gramos base × factor por largo × factor por densidad × factor por canas.</t>
        </is>
      </c>
    </row>
    <row r="29">
      <c r="A29" s="2" t="inlineStr">
        <is>
          <t>Costo del tinte</t>
        </is>
      </c>
      <c r="B29" s="19">
        <f>B28*IFERROR(INDEX(Productos!$G$5:$G$34,MATCH($B$10,Productos!$A$5:$A$34,0)),0)</f>
        <v/>
      </c>
      <c r="C29" s="2" t="n"/>
    </row>
    <row r="30">
      <c r="A30" s="2" t="inlineStr">
        <is>
          <t>Mililitros de oxidante</t>
        </is>
      </c>
      <c r="B30" s="29">
        <f>B28*Consumo!$B$4</f>
        <v/>
      </c>
      <c r="C30" s="2" t="n"/>
    </row>
    <row r="31">
      <c r="A31" s="2" t="inlineStr">
        <is>
          <t>Costo del oxidante</t>
        </is>
      </c>
      <c r="B31" s="19">
        <f>B30*IFERROR(INDEX(Productos!$G$5:$G$34,MATCH($B$11,Productos!$A$5:$A$34,0)),0)</f>
        <v/>
      </c>
      <c r="C31" s="2" t="n"/>
    </row>
    <row r="32">
      <c r="A32" s="2" t="inlineStr">
        <is>
          <t>Insumos fijos</t>
        </is>
      </c>
      <c r="B32" s="19">
        <f>IF($B$14=0,0,IF(ISNUMBER(INDEX(Servicios!$J$9:$J$38,MAX(1,$B$14))),INDEX(Servicios!$J$9:$J$38,MAX(1,$B$14)),0))</f>
        <v/>
      </c>
      <c r="C32" s="2" t="n"/>
    </row>
    <row r="33">
      <c r="A33" s="9" t="inlineStr">
        <is>
          <t>Costo total de producto</t>
        </is>
      </c>
      <c r="B33" s="27">
        <f>B29+B31+B32</f>
        <v/>
      </c>
      <c r="C33" s="2" t="n"/>
    </row>
    <row r="34">
      <c r="A34" s="24" t="inlineStr">
        <is>
          <t>Comisión y margen</t>
        </is>
      </c>
      <c r="B34" s="2" t="n"/>
      <c r="C34" s="2" t="n"/>
    </row>
    <row r="35">
      <c r="A35" s="2" t="inlineStr">
        <is>
          <t>Fila de la estilista (dato interno)</t>
        </is>
      </c>
      <c r="B35" s="25">
        <f>IFERROR(MATCH($B$9,Comisiones!$A$5:$A$19,0),0)</f>
        <v/>
      </c>
      <c r="C35" s="2" t="n"/>
    </row>
    <row r="36">
      <c r="A36" s="2" t="inlineStr">
        <is>
          <t>% de comisión</t>
        </is>
      </c>
      <c r="B36" s="20">
        <f>IF($B$35=0,0,IF(AND(OR(INDEX(Servicios!$B$9:$B$38,MAX(1,$B$14))="color",INDEX(Servicios!$B$9:$B$38,MAX(1,$B$14))="decoloración"),ISNUMBER(INDEX(Comisiones!$C$5:$C$19,MAX(1,$B$35)))),INDEX(Comisiones!$C$5:$C$19,MAX(1,$B$35)),INDEX(Comisiones!$B$5:$B$19,MAX(1,$B$35))))</f>
        <v/>
      </c>
      <c r="C36" s="26" t="inlineStr">
        <is>
          <t>En color o decoloración usa el % de color si existe; si no, el general.</t>
        </is>
      </c>
    </row>
    <row r="37">
      <c r="A37" s="2" t="inlineStr">
        <is>
          <t>Se calcula sobre</t>
        </is>
      </c>
      <c r="B37" s="6">
        <f>IF($B$35=0,"Precio",IF(INDEX(Comisiones!$D$5:$D$19,MAX(1,$B$35))="","Precio",INDEX(Comisiones!$D$5:$D$19,MAX(1,$B$35))))</f>
        <v/>
      </c>
      <c r="C37" s="2" t="n"/>
    </row>
    <row r="38">
      <c r="A38" s="2" t="inlineStr">
        <is>
          <t>Comisión</t>
        </is>
      </c>
      <c r="B38" s="19">
        <f>B36*IF(B37="Precio menos producto",B19-B33,B19)</f>
        <v/>
      </c>
      <c r="C38" s="2" t="n"/>
    </row>
    <row r="39">
      <c r="A39" s="9" t="inlineStr">
        <is>
          <t>Margen del salón</t>
        </is>
      </c>
      <c r="B39" s="27">
        <f>B19-B33-B38</f>
        <v/>
      </c>
      <c r="C39" s="26" t="inlineStr">
        <is>
          <t>Precio − costo de producto − comisión.</t>
        </is>
      </c>
    </row>
    <row r="40">
      <c r="A40" s="2" t="inlineStr">
        <is>
          <t>Margen (%)</t>
        </is>
      </c>
      <c r="B40" s="20">
        <f>IF(B19&gt;0,B39/B19,0)</f>
        <v/>
      </c>
      <c r="C40" s="2" t="n"/>
    </row>
  </sheetData>
  <mergeCells count="1">
    <mergeCell ref="A2:C2"/>
  </mergeCells>
  <dataValidations count="8">
    <dataValidation sqref="B4" showDropDown="0" showInputMessage="0" showErrorMessage="0" allowBlank="1" errorTitle="Valor no válido" error="Elige un valor de la lista." type="list">
      <formula1>Servicios!$A$9:$A$38</formula1>
    </dataValidation>
    <dataValidation sqref="B5" showDropDown="0" showInputMessage="0" showErrorMessage="0" allowBlank="1" errorTitle="Valor no válido" error="Elige un valor de la lista." type="list">
      <formula1>Ajustes!$B$5:$B$8</formula1>
    </dataValidation>
    <dataValidation sqref="B6" showDropDown="0" showInputMessage="0" showErrorMessage="0" allowBlank="1" errorTitle="Valor no válido" error="Elige un valor de la lista." type="list">
      <formula1>Ajustes!$B$9:$B$11</formula1>
    </dataValidation>
    <dataValidation sqref="B7" showDropDown="0" showInputMessage="0" showErrorMessage="0" allowBlank="1" errorTitle="Valor no válido" error="Elige un valor de la lista." type="list">
      <formula1>Ajustes!$B$12:$B$14</formula1>
    </dataValidation>
    <dataValidation sqref="B8" showDropDown="0" showInputMessage="0" showErrorMessage="0" allowBlank="1" errorTitle="Valor no válido" error="Elige un valor de la lista." type="list">
      <formula1>Ajustes!$B$15:$B$18</formula1>
    </dataValidation>
    <dataValidation sqref="B9" showDropDown="0" showInputMessage="0" showErrorMessage="0" allowBlank="1" errorTitle="Valor no válido" error="Elige un valor de la lista." type="list">
      <formula1>Comisiones!$A$5:$A$19</formula1>
    </dataValidation>
    <dataValidation sqref="B10" showDropDown="0" showInputMessage="0" showErrorMessage="0" allowBlank="1" errorTitle="Valor no válido" error="Elige un valor de la lista." type="list">
      <formula1>Productos!$A$5:$A$34</formula1>
    </dataValidation>
    <dataValidation sqref="B11" showDropDown="0" showInputMessage="0" showErrorMessage="0" allowBlank="1" errorTitle="Valor no válido" error="Elige un valor de la lista." type="list">
      <formula1>Productos!$A$5:$A$34</formula1>
    </dataValidation>
  </dataValidation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P104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28" customWidth="1" min="4" max="4"/>
    <col width="12" customWidth="1" min="5" max="5"/>
    <col width="11" customWidth="1" min="6" max="6"/>
    <col width="15" customWidth="1" min="7" max="7"/>
    <col width="14" customWidth="1" min="8" max="8"/>
    <col width="15" customWidth="1" min="9" max="9"/>
    <col width="15" customWidth="1" min="10" max="10"/>
    <col width="13" customWidth="1" min="11" max="11"/>
    <col width="12" customWidth="1" min="12" max="12"/>
    <col width="32" customWidth="1" min="13" max="13"/>
    <col width="32" customWidth="1" min="14" max="14"/>
    <col hidden="1" outlineLevel="1" width="9" customWidth="1" min="15" max="16"/>
  </cols>
  <sheetData>
    <row r="1">
      <c r="A1" s="1" t="inlineStr">
        <is>
          <t>Registro de la prueba (una semana)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30" customHeight="1">
      <c r="A2" s="8" t="inlineStr">
        <is>
          <t>Una fila por cada servicio real. La hoja calcula su precio y tú escribes lo que se cobró. Solo iniciales de la clienta; nada de datos de salud capilar.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32" customHeight="1">
      <c r="A4" s="13" t="inlineStr">
        <is>
          <t>Fecha</t>
        </is>
      </c>
      <c r="B4" s="13" t="inlineStr">
        <is>
          <t>Estilista</t>
        </is>
      </c>
      <c r="C4" s="13" t="inlineStr">
        <is>
          <t>Clienta (iniciales)</t>
        </is>
      </c>
      <c r="D4" s="13" t="inlineStr">
        <is>
          <t>Servicio</t>
        </is>
      </c>
      <c r="E4" s="13" t="inlineStr">
        <is>
          <t>Largo</t>
        </is>
      </c>
      <c r="F4" s="13" t="inlineStr">
        <is>
          <t>Densidad</t>
        </is>
      </c>
      <c r="G4" s="13" t="inlineStr">
        <is>
          <t>Estado de la fibra</t>
        </is>
      </c>
      <c r="H4" s="13" t="inlineStr">
        <is>
          <t>Canas</t>
        </is>
      </c>
      <c r="I4" s="13" t="inlineStr">
        <is>
          <t>Precio según la hoja</t>
        </is>
      </c>
      <c r="J4" s="13" t="inlineStr">
        <is>
          <t>Precio cobrado</t>
        </is>
      </c>
      <c r="K4" s="13" t="inlineStr">
        <is>
          <t>Diferencia ($)</t>
        </is>
      </c>
      <c r="L4" s="13" t="inlineStr">
        <is>
          <t>Diferencia (%)</t>
        </is>
      </c>
      <c r="M4" s="13" t="inlineStr">
        <is>
          <t>¿Por qué cambió?</t>
        </is>
      </c>
      <c r="N4" s="13" t="inlineStr">
        <is>
          <t>¿Algo que la hoja no considera?</t>
        </is>
      </c>
      <c r="O4" s="13" t="inlineStr">
        <is>
          <t>Fila servicio</t>
        </is>
      </c>
      <c r="P4" s="13" t="inlineStr">
        <is>
          <t>Dentro de ±5 %</t>
        </is>
      </c>
    </row>
    <row r="5">
      <c r="A5" s="31" t="n">
        <v>46317</v>
      </c>
      <c r="B5" s="14" t="inlineStr">
        <is>
          <t>Ejemplo · Caro</t>
        </is>
      </c>
      <c r="C5" s="14" t="inlineStr">
        <is>
          <t>L. M.</t>
        </is>
      </c>
      <c r="D5" s="14" t="inlineStr">
        <is>
          <t>Ejemplo · Tinte completo</t>
        </is>
      </c>
      <c r="E5" s="14" t="inlineStr">
        <is>
          <t>Medio</t>
        </is>
      </c>
      <c r="F5" s="14" t="inlineStr">
        <is>
          <t>Alta</t>
        </is>
      </c>
      <c r="G5" s="14" t="inlineStr">
        <is>
          <t>Sana / virgen</t>
        </is>
      </c>
      <c r="H5" s="14" t="inlineStr">
        <is>
          <t>50–75 %</t>
        </is>
      </c>
      <c r="I5" s="19">
        <f>IF($O5=0,"",ROUND((INDEX(Servicios!$C$9:$C$38,MAX(1,$O5))+IF(INDEX(Servicios!$D$9:$D$38,MAX(1,$O5))="Sí",SUMIFS(Ajustes!$D$5:$D$18,Ajustes!$A$5:$A$18,"Largo",Ajustes!$B$5:$B$18,""&amp;$E5),0)+IF(INDEX(Servicios!$E$9:$E$38,MAX(1,$O5))="Sí",SUMIFS(Ajustes!$D$5:$D$18,Ajustes!$A$5:$A$18,"Densidad",Ajustes!$B$5:$B$18,""&amp;$F5),0)+IF(INDEX(Servicios!$F$9:$F$38,MAX(1,$O5))="Sí",SUMIFS(Ajustes!$D$5:$D$18,Ajustes!$A$5:$A$18,"Estado de la fibra",Ajustes!$B$5:$B$18,""&amp;$G5),0)+IF(INDEX(Servicios!$G$9:$G$38,MAX(1,$O5))="Sí",SUMIFS(Ajustes!$D$5:$D$18,Ajustes!$A$5:$A$18,"Canas",Ajustes!$B$5:$B$18,""&amp;$H5),0))*(1+IF(INDEX(Servicios!$D$9:$D$38,MAX(1,$O5))="Sí",SUMIFS(Ajustes!$E$5:$E$18,Ajustes!$A$5:$A$18,"Largo",Ajustes!$B$5:$B$18,""&amp;$E5),0)+IF(INDEX(Servicios!$E$9:$E$38,MAX(1,$O5))="Sí",SUMIFS(Ajustes!$E$5:$E$18,Ajustes!$A$5:$A$18,"Densidad",Ajustes!$B$5:$B$18,""&amp;$F5),0)+IF(INDEX(Servicios!$F$9:$F$38,MAX(1,$O5))="Sí",SUMIFS(Ajustes!$E$5:$E$18,Ajustes!$A$5:$A$18,"Estado de la fibra",Ajustes!$B$5:$B$18,""&amp;$G5),0)+IF(INDEX(Servicios!$G$9:$G$38,MAX(1,$O5))="Sí",SUMIFS(Ajustes!$E$5:$E$18,Ajustes!$A$5:$A$18,"Canas",Ajustes!$B$5:$B$18,""&amp;$H5),0))/MAX(1,Servicios!$E$5),0)*MAX(1,Servicios!$E$5))</f>
        <v/>
      </c>
      <c r="J5" s="15" t="n">
        <v>190000</v>
      </c>
      <c r="K5" s="19">
        <f>IF(OR(I5="",J5=""),"",J5-I5)</f>
        <v/>
      </c>
      <c r="L5" s="20">
        <f>IF(OR(I5="",J5="",I5=0),"",J5/I5-1)</f>
        <v/>
      </c>
      <c r="M5" s="14" t="inlineStr">
        <is>
          <t>Ejemplo: la clienta pidió matiz adicional</t>
        </is>
      </c>
      <c r="N5" s="5" t="n"/>
      <c r="O5" s="25">
        <f>IF($D5="",0,IFERROR(MATCH($D5,Servicios!$A$9:$A$38,0),0))</f>
        <v/>
      </c>
      <c r="P5" s="25">
        <f>IF(OR(I5="",J5=""),"",IF(ABS(J5-I5)&lt;=0.05*I5,1,0))</f>
        <v/>
      </c>
    </row>
    <row r="6">
      <c r="A6" s="10" t="n"/>
      <c r="B6" s="5" t="n"/>
      <c r="C6" s="5" t="n"/>
      <c r="D6" s="5" t="n"/>
      <c r="E6" s="5" t="n"/>
      <c r="F6" s="5" t="n"/>
      <c r="G6" s="5" t="n"/>
      <c r="H6" s="5" t="n"/>
      <c r="I6" s="19">
        <f>IF($O6=0,"",ROUND((INDEX(Servicios!$C$9:$C$38,MAX(1,$O6))+IF(INDEX(Servicios!$D$9:$D$38,MAX(1,$O6))="Sí",SUMIFS(Ajustes!$D$5:$D$18,Ajustes!$A$5:$A$18,"Largo",Ajustes!$B$5:$B$18,""&amp;$E6),0)+IF(INDEX(Servicios!$E$9:$E$38,MAX(1,$O6))="Sí",SUMIFS(Ajustes!$D$5:$D$18,Ajustes!$A$5:$A$18,"Densidad",Ajustes!$B$5:$B$18,""&amp;$F6),0)+IF(INDEX(Servicios!$F$9:$F$38,MAX(1,$O6))="Sí",SUMIFS(Ajustes!$D$5:$D$18,Ajustes!$A$5:$A$18,"Estado de la fibra",Ajustes!$B$5:$B$18,""&amp;$G6),0)+IF(INDEX(Servicios!$G$9:$G$38,MAX(1,$O6))="Sí",SUMIFS(Ajustes!$D$5:$D$18,Ajustes!$A$5:$A$18,"Canas",Ajustes!$B$5:$B$18,""&amp;$H6),0))*(1+IF(INDEX(Servicios!$D$9:$D$38,MAX(1,$O6))="Sí",SUMIFS(Ajustes!$E$5:$E$18,Ajustes!$A$5:$A$18,"Largo",Ajustes!$B$5:$B$18,""&amp;$E6),0)+IF(INDEX(Servicios!$E$9:$E$38,MAX(1,$O6))="Sí",SUMIFS(Ajustes!$E$5:$E$18,Ajustes!$A$5:$A$18,"Densidad",Ajustes!$B$5:$B$18,""&amp;$F6),0)+IF(INDEX(Servicios!$F$9:$F$38,MAX(1,$O6))="Sí",SUMIFS(Ajustes!$E$5:$E$18,Ajustes!$A$5:$A$18,"Estado de la fibra",Ajustes!$B$5:$B$18,""&amp;$G6),0)+IF(INDEX(Servicios!$G$9:$G$38,MAX(1,$O6))="Sí",SUMIFS(Ajustes!$E$5:$E$18,Ajustes!$A$5:$A$18,"Canas",Ajustes!$B$5:$B$18,""&amp;$H6),0))/MAX(1,Servicios!$E$5),0)*MAX(1,Servicios!$E$5))</f>
        <v/>
      </c>
      <c r="J6" s="11" t="n"/>
      <c r="K6" s="19">
        <f>IF(OR(I6="",J6=""),"",J6-I6)</f>
        <v/>
      </c>
      <c r="L6" s="20">
        <f>IF(OR(I6="",J6="",I6=0),"",J6/I6-1)</f>
        <v/>
      </c>
      <c r="M6" s="5" t="n"/>
      <c r="N6" s="5" t="n"/>
      <c r="O6" s="25">
        <f>IF($D6="",0,IFERROR(MATCH($D6,Servicios!$A$9:$A$38,0),0))</f>
        <v/>
      </c>
      <c r="P6" s="25">
        <f>IF(OR(I6="",J6=""),"",IF(ABS(J6-I6)&lt;=0.05*I6,1,0))</f>
        <v/>
      </c>
    </row>
    <row r="7">
      <c r="A7" s="10" t="n"/>
      <c r="B7" s="5" t="n"/>
      <c r="C7" s="5" t="n"/>
      <c r="D7" s="5" t="n"/>
      <c r="E7" s="5" t="n"/>
      <c r="F7" s="5" t="n"/>
      <c r="G7" s="5" t="n"/>
      <c r="H7" s="5" t="n"/>
      <c r="I7" s="19">
        <f>IF($O7=0,"",ROUND((INDEX(Servicios!$C$9:$C$38,MAX(1,$O7))+IF(INDEX(Servicios!$D$9:$D$38,MAX(1,$O7))="Sí",SUMIFS(Ajustes!$D$5:$D$18,Ajustes!$A$5:$A$18,"Largo",Ajustes!$B$5:$B$18,""&amp;$E7),0)+IF(INDEX(Servicios!$E$9:$E$38,MAX(1,$O7))="Sí",SUMIFS(Ajustes!$D$5:$D$18,Ajustes!$A$5:$A$18,"Densidad",Ajustes!$B$5:$B$18,""&amp;$F7),0)+IF(INDEX(Servicios!$F$9:$F$38,MAX(1,$O7))="Sí",SUMIFS(Ajustes!$D$5:$D$18,Ajustes!$A$5:$A$18,"Estado de la fibra",Ajustes!$B$5:$B$18,""&amp;$G7),0)+IF(INDEX(Servicios!$G$9:$G$38,MAX(1,$O7))="Sí",SUMIFS(Ajustes!$D$5:$D$18,Ajustes!$A$5:$A$18,"Canas",Ajustes!$B$5:$B$18,""&amp;$H7),0))*(1+IF(INDEX(Servicios!$D$9:$D$38,MAX(1,$O7))="Sí",SUMIFS(Ajustes!$E$5:$E$18,Ajustes!$A$5:$A$18,"Largo",Ajustes!$B$5:$B$18,""&amp;$E7),0)+IF(INDEX(Servicios!$E$9:$E$38,MAX(1,$O7))="Sí",SUMIFS(Ajustes!$E$5:$E$18,Ajustes!$A$5:$A$18,"Densidad",Ajustes!$B$5:$B$18,""&amp;$F7),0)+IF(INDEX(Servicios!$F$9:$F$38,MAX(1,$O7))="Sí",SUMIFS(Ajustes!$E$5:$E$18,Ajustes!$A$5:$A$18,"Estado de la fibra",Ajustes!$B$5:$B$18,""&amp;$G7),0)+IF(INDEX(Servicios!$G$9:$G$38,MAX(1,$O7))="Sí",SUMIFS(Ajustes!$E$5:$E$18,Ajustes!$A$5:$A$18,"Canas",Ajustes!$B$5:$B$18,""&amp;$H7),0))/MAX(1,Servicios!$E$5),0)*MAX(1,Servicios!$E$5))</f>
        <v/>
      </c>
      <c r="J7" s="11" t="n"/>
      <c r="K7" s="19">
        <f>IF(OR(I7="",J7=""),"",J7-I7)</f>
        <v/>
      </c>
      <c r="L7" s="20">
        <f>IF(OR(I7="",J7="",I7=0),"",J7/I7-1)</f>
        <v/>
      </c>
      <c r="M7" s="5" t="n"/>
      <c r="N7" s="5" t="n"/>
      <c r="O7" s="25">
        <f>IF($D7="",0,IFERROR(MATCH($D7,Servicios!$A$9:$A$38,0),0))</f>
        <v/>
      </c>
      <c r="P7" s="25">
        <f>IF(OR(I7="",J7=""),"",IF(ABS(J7-I7)&lt;=0.05*I7,1,0))</f>
        <v/>
      </c>
    </row>
    <row r="8">
      <c r="A8" s="10" t="n"/>
      <c r="B8" s="5" t="n"/>
      <c r="C8" s="5" t="n"/>
      <c r="D8" s="5" t="n"/>
      <c r="E8" s="5" t="n"/>
      <c r="F8" s="5" t="n"/>
      <c r="G8" s="5" t="n"/>
      <c r="H8" s="5" t="n"/>
      <c r="I8" s="19">
        <f>IF($O8=0,"",ROUND((INDEX(Servicios!$C$9:$C$38,MAX(1,$O8))+IF(INDEX(Servicios!$D$9:$D$38,MAX(1,$O8))="Sí",SUMIFS(Ajustes!$D$5:$D$18,Ajustes!$A$5:$A$18,"Largo",Ajustes!$B$5:$B$18,""&amp;$E8),0)+IF(INDEX(Servicios!$E$9:$E$38,MAX(1,$O8))="Sí",SUMIFS(Ajustes!$D$5:$D$18,Ajustes!$A$5:$A$18,"Densidad",Ajustes!$B$5:$B$18,""&amp;$F8),0)+IF(INDEX(Servicios!$F$9:$F$38,MAX(1,$O8))="Sí",SUMIFS(Ajustes!$D$5:$D$18,Ajustes!$A$5:$A$18,"Estado de la fibra",Ajustes!$B$5:$B$18,""&amp;$G8),0)+IF(INDEX(Servicios!$G$9:$G$38,MAX(1,$O8))="Sí",SUMIFS(Ajustes!$D$5:$D$18,Ajustes!$A$5:$A$18,"Canas",Ajustes!$B$5:$B$18,""&amp;$H8),0))*(1+IF(INDEX(Servicios!$D$9:$D$38,MAX(1,$O8))="Sí",SUMIFS(Ajustes!$E$5:$E$18,Ajustes!$A$5:$A$18,"Largo",Ajustes!$B$5:$B$18,""&amp;$E8),0)+IF(INDEX(Servicios!$E$9:$E$38,MAX(1,$O8))="Sí",SUMIFS(Ajustes!$E$5:$E$18,Ajustes!$A$5:$A$18,"Densidad",Ajustes!$B$5:$B$18,""&amp;$F8),0)+IF(INDEX(Servicios!$F$9:$F$38,MAX(1,$O8))="Sí",SUMIFS(Ajustes!$E$5:$E$18,Ajustes!$A$5:$A$18,"Estado de la fibra",Ajustes!$B$5:$B$18,""&amp;$G8),0)+IF(INDEX(Servicios!$G$9:$G$38,MAX(1,$O8))="Sí",SUMIFS(Ajustes!$E$5:$E$18,Ajustes!$A$5:$A$18,"Canas",Ajustes!$B$5:$B$18,""&amp;$H8),0))/MAX(1,Servicios!$E$5),0)*MAX(1,Servicios!$E$5))</f>
        <v/>
      </c>
      <c r="J8" s="11" t="n"/>
      <c r="K8" s="19">
        <f>IF(OR(I8="",J8=""),"",J8-I8)</f>
        <v/>
      </c>
      <c r="L8" s="20">
        <f>IF(OR(I8="",J8="",I8=0),"",J8/I8-1)</f>
        <v/>
      </c>
      <c r="M8" s="5" t="n"/>
      <c r="N8" s="5" t="n"/>
      <c r="O8" s="25">
        <f>IF($D8="",0,IFERROR(MATCH($D8,Servicios!$A$9:$A$38,0),0))</f>
        <v/>
      </c>
      <c r="P8" s="25">
        <f>IF(OR(I8="",J8=""),"",IF(ABS(J8-I8)&lt;=0.05*I8,1,0))</f>
        <v/>
      </c>
    </row>
    <row r="9">
      <c r="A9" s="10" t="n"/>
      <c r="B9" s="5" t="n"/>
      <c r="C9" s="5" t="n"/>
      <c r="D9" s="5" t="n"/>
      <c r="E9" s="5" t="n"/>
      <c r="F9" s="5" t="n"/>
      <c r="G9" s="5" t="n"/>
      <c r="H9" s="5" t="n"/>
      <c r="I9" s="19">
        <f>IF($O9=0,"",ROUND((INDEX(Servicios!$C$9:$C$38,MAX(1,$O9))+IF(INDEX(Servicios!$D$9:$D$38,MAX(1,$O9))="Sí",SUMIFS(Ajustes!$D$5:$D$18,Ajustes!$A$5:$A$18,"Largo",Ajustes!$B$5:$B$18,""&amp;$E9),0)+IF(INDEX(Servicios!$E$9:$E$38,MAX(1,$O9))="Sí",SUMIFS(Ajustes!$D$5:$D$18,Ajustes!$A$5:$A$18,"Densidad",Ajustes!$B$5:$B$18,""&amp;$F9),0)+IF(INDEX(Servicios!$F$9:$F$38,MAX(1,$O9))="Sí",SUMIFS(Ajustes!$D$5:$D$18,Ajustes!$A$5:$A$18,"Estado de la fibra",Ajustes!$B$5:$B$18,""&amp;$G9),0)+IF(INDEX(Servicios!$G$9:$G$38,MAX(1,$O9))="Sí",SUMIFS(Ajustes!$D$5:$D$18,Ajustes!$A$5:$A$18,"Canas",Ajustes!$B$5:$B$18,""&amp;$H9),0))*(1+IF(INDEX(Servicios!$D$9:$D$38,MAX(1,$O9))="Sí",SUMIFS(Ajustes!$E$5:$E$18,Ajustes!$A$5:$A$18,"Largo",Ajustes!$B$5:$B$18,""&amp;$E9),0)+IF(INDEX(Servicios!$E$9:$E$38,MAX(1,$O9))="Sí",SUMIFS(Ajustes!$E$5:$E$18,Ajustes!$A$5:$A$18,"Densidad",Ajustes!$B$5:$B$18,""&amp;$F9),0)+IF(INDEX(Servicios!$F$9:$F$38,MAX(1,$O9))="Sí",SUMIFS(Ajustes!$E$5:$E$18,Ajustes!$A$5:$A$18,"Estado de la fibra",Ajustes!$B$5:$B$18,""&amp;$G9),0)+IF(INDEX(Servicios!$G$9:$G$38,MAX(1,$O9))="Sí",SUMIFS(Ajustes!$E$5:$E$18,Ajustes!$A$5:$A$18,"Canas",Ajustes!$B$5:$B$18,""&amp;$H9),0))/MAX(1,Servicios!$E$5),0)*MAX(1,Servicios!$E$5))</f>
        <v/>
      </c>
      <c r="J9" s="11" t="n"/>
      <c r="K9" s="19">
        <f>IF(OR(I9="",J9=""),"",J9-I9)</f>
        <v/>
      </c>
      <c r="L9" s="20">
        <f>IF(OR(I9="",J9="",I9=0),"",J9/I9-1)</f>
        <v/>
      </c>
      <c r="M9" s="5" t="n"/>
      <c r="N9" s="5" t="n"/>
      <c r="O9" s="25">
        <f>IF($D9="",0,IFERROR(MATCH($D9,Servicios!$A$9:$A$38,0),0))</f>
        <v/>
      </c>
      <c r="P9" s="25">
        <f>IF(OR(I9="",J9=""),"",IF(ABS(J9-I9)&lt;=0.05*I9,1,0))</f>
        <v/>
      </c>
    </row>
    <row r="10">
      <c r="A10" s="10" t="n"/>
      <c r="B10" s="5" t="n"/>
      <c r="C10" s="5" t="n"/>
      <c r="D10" s="5" t="n"/>
      <c r="E10" s="5" t="n"/>
      <c r="F10" s="5" t="n"/>
      <c r="G10" s="5" t="n"/>
      <c r="H10" s="5" t="n"/>
      <c r="I10" s="19">
        <f>IF($O10=0,"",ROUND((INDEX(Servicios!$C$9:$C$38,MAX(1,$O10))+IF(INDEX(Servicios!$D$9:$D$38,MAX(1,$O10))="Sí",SUMIFS(Ajustes!$D$5:$D$18,Ajustes!$A$5:$A$18,"Largo",Ajustes!$B$5:$B$18,""&amp;$E10),0)+IF(INDEX(Servicios!$E$9:$E$38,MAX(1,$O10))="Sí",SUMIFS(Ajustes!$D$5:$D$18,Ajustes!$A$5:$A$18,"Densidad",Ajustes!$B$5:$B$18,""&amp;$F10),0)+IF(INDEX(Servicios!$F$9:$F$38,MAX(1,$O10))="Sí",SUMIFS(Ajustes!$D$5:$D$18,Ajustes!$A$5:$A$18,"Estado de la fibra",Ajustes!$B$5:$B$18,""&amp;$G10),0)+IF(INDEX(Servicios!$G$9:$G$38,MAX(1,$O10))="Sí",SUMIFS(Ajustes!$D$5:$D$18,Ajustes!$A$5:$A$18,"Canas",Ajustes!$B$5:$B$18,""&amp;$H10),0))*(1+IF(INDEX(Servicios!$D$9:$D$38,MAX(1,$O10))="Sí",SUMIFS(Ajustes!$E$5:$E$18,Ajustes!$A$5:$A$18,"Largo",Ajustes!$B$5:$B$18,""&amp;$E10),0)+IF(INDEX(Servicios!$E$9:$E$38,MAX(1,$O10))="Sí",SUMIFS(Ajustes!$E$5:$E$18,Ajustes!$A$5:$A$18,"Densidad",Ajustes!$B$5:$B$18,""&amp;$F10),0)+IF(INDEX(Servicios!$F$9:$F$38,MAX(1,$O10))="Sí",SUMIFS(Ajustes!$E$5:$E$18,Ajustes!$A$5:$A$18,"Estado de la fibra",Ajustes!$B$5:$B$18,""&amp;$G10),0)+IF(INDEX(Servicios!$G$9:$G$38,MAX(1,$O10))="Sí",SUMIFS(Ajustes!$E$5:$E$18,Ajustes!$A$5:$A$18,"Canas",Ajustes!$B$5:$B$18,""&amp;$H10),0))/MAX(1,Servicios!$E$5),0)*MAX(1,Servicios!$E$5))</f>
        <v/>
      </c>
      <c r="J10" s="11" t="n"/>
      <c r="K10" s="19">
        <f>IF(OR(I10="",J10=""),"",J10-I10)</f>
        <v/>
      </c>
      <c r="L10" s="20">
        <f>IF(OR(I10="",J10="",I10=0),"",J10/I10-1)</f>
        <v/>
      </c>
      <c r="M10" s="5" t="n"/>
      <c r="N10" s="5" t="n"/>
      <c r="O10" s="25">
        <f>IF($D10="",0,IFERROR(MATCH($D10,Servicios!$A$9:$A$38,0),0))</f>
        <v/>
      </c>
      <c r="P10" s="25">
        <f>IF(OR(I10="",J10=""),"",IF(ABS(J10-I10)&lt;=0.05*I10,1,0))</f>
        <v/>
      </c>
    </row>
    <row r="11">
      <c r="A11" s="10" t="n"/>
      <c r="B11" s="5" t="n"/>
      <c r="C11" s="5" t="n"/>
      <c r="D11" s="5" t="n"/>
      <c r="E11" s="5" t="n"/>
      <c r="F11" s="5" t="n"/>
      <c r="G11" s="5" t="n"/>
      <c r="H11" s="5" t="n"/>
      <c r="I11" s="19">
        <f>IF($O11=0,"",ROUND((INDEX(Servicios!$C$9:$C$38,MAX(1,$O11))+IF(INDEX(Servicios!$D$9:$D$38,MAX(1,$O11))="Sí",SUMIFS(Ajustes!$D$5:$D$18,Ajustes!$A$5:$A$18,"Largo",Ajustes!$B$5:$B$18,""&amp;$E11),0)+IF(INDEX(Servicios!$E$9:$E$38,MAX(1,$O11))="Sí",SUMIFS(Ajustes!$D$5:$D$18,Ajustes!$A$5:$A$18,"Densidad",Ajustes!$B$5:$B$18,""&amp;$F11),0)+IF(INDEX(Servicios!$F$9:$F$38,MAX(1,$O11))="Sí",SUMIFS(Ajustes!$D$5:$D$18,Ajustes!$A$5:$A$18,"Estado de la fibra",Ajustes!$B$5:$B$18,""&amp;$G11),0)+IF(INDEX(Servicios!$G$9:$G$38,MAX(1,$O11))="Sí",SUMIFS(Ajustes!$D$5:$D$18,Ajustes!$A$5:$A$18,"Canas",Ajustes!$B$5:$B$18,""&amp;$H11),0))*(1+IF(INDEX(Servicios!$D$9:$D$38,MAX(1,$O11))="Sí",SUMIFS(Ajustes!$E$5:$E$18,Ajustes!$A$5:$A$18,"Largo",Ajustes!$B$5:$B$18,""&amp;$E11),0)+IF(INDEX(Servicios!$E$9:$E$38,MAX(1,$O11))="Sí",SUMIFS(Ajustes!$E$5:$E$18,Ajustes!$A$5:$A$18,"Densidad",Ajustes!$B$5:$B$18,""&amp;$F11),0)+IF(INDEX(Servicios!$F$9:$F$38,MAX(1,$O11))="Sí",SUMIFS(Ajustes!$E$5:$E$18,Ajustes!$A$5:$A$18,"Estado de la fibra",Ajustes!$B$5:$B$18,""&amp;$G11),0)+IF(INDEX(Servicios!$G$9:$G$38,MAX(1,$O11))="Sí",SUMIFS(Ajustes!$E$5:$E$18,Ajustes!$A$5:$A$18,"Canas",Ajustes!$B$5:$B$18,""&amp;$H11),0))/MAX(1,Servicios!$E$5),0)*MAX(1,Servicios!$E$5))</f>
        <v/>
      </c>
      <c r="J11" s="11" t="n"/>
      <c r="K11" s="19">
        <f>IF(OR(I11="",J11=""),"",J11-I11)</f>
        <v/>
      </c>
      <c r="L11" s="20">
        <f>IF(OR(I11="",J11="",I11=0),"",J11/I11-1)</f>
        <v/>
      </c>
      <c r="M11" s="5" t="n"/>
      <c r="N11" s="5" t="n"/>
      <c r="O11" s="25">
        <f>IF($D11="",0,IFERROR(MATCH($D11,Servicios!$A$9:$A$38,0),0))</f>
        <v/>
      </c>
      <c r="P11" s="25">
        <f>IF(OR(I11="",J11=""),"",IF(ABS(J11-I11)&lt;=0.05*I11,1,0))</f>
        <v/>
      </c>
    </row>
    <row r="12">
      <c r="A12" s="10" t="n"/>
      <c r="B12" s="5" t="n"/>
      <c r="C12" s="5" t="n"/>
      <c r="D12" s="5" t="n"/>
      <c r="E12" s="5" t="n"/>
      <c r="F12" s="5" t="n"/>
      <c r="G12" s="5" t="n"/>
      <c r="H12" s="5" t="n"/>
      <c r="I12" s="19">
        <f>IF($O12=0,"",ROUND((INDEX(Servicios!$C$9:$C$38,MAX(1,$O12))+IF(INDEX(Servicios!$D$9:$D$38,MAX(1,$O12))="Sí",SUMIFS(Ajustes!$D$5:$D$18,Ajustes!$A$5:$A$18,"Largo",Ajustes!$B$5:$B$18,""&amp;$E12),0)+IF(INDEX(Servicios!$E$9:$E$38,MAX(1,$O12))="Sí",SUMIFS(Ajustes!$D$5:$D$18,Ajustes!$A$5:$A$18,"Densidad",Ajustes!$B$5:$B$18,""&amp;$F12),0)+IF(INDEX(Servicios!$F$9:$F$38,MAX(1,$O12))="Sí",SUMIFS(Ajustes!$D$5:$D$18,Ajustes!$A$5:$A$18,"Estado de la fibra",Ajustes!$B$5:$B$18,""&amp;$G12),0)+IF(INDEX(Servicios!$G$9:$G$38,MAX(1,$O12))="Sí",SUMIFS(Ajustes!$D$5:$D$18,Ajustes!$A$5:$A$18,"Canas",Ajustes!$B$5:$B$18,""&amp;$H12),0))*(1+IF(INDEX(Servicios!$D$9:$D$38,MAX(1,$O12))="Sí",SUMIFS(Ajustes!$E$5:$E$18,Ajustes!$A$5:$A$18,"Largo",Ajustes!$B$5:$B$18,""&amp;$E12),0)+IF(INDEX(Servicios!$E$9:$E$38,MAX(1,$O12))="Sí",SUMIFS(Ajustes!$E$5:$E$18,Ajustes!$A$5:$A$18,"Densidad",Ajustes!$B$5:$B$18,""&amp;$F12),0)+IF(INDEX(Servicios!$F$9:$F$38,MAX(1,$O12))="Sí",SUMIFS(Ajustes!$E$5:$E$18,Ajustes!$A$5:$A$18,"Estado de la fibra",Ajustes!$B$5:$B$18,""&amp;$G12),0)+IF(INDEX(Servicios!$G$9:$G$38,MAX(1,$O12))="Sí",SUMIFS(Ajustes!$E$5:$E$18,Ajustes!$A$5:$A$18,"Canas",Ajustes!$B$5:$B$18,""&amp;$H12),0))/MAX(1,Servicios!$E$5),0)*MAX(1,Servicios!$E$5))</f>
        <v/>
      </c>
      <c r="J12" s="11" t="n"/>
      <c r="K12" s="19">
        <f>IF(OR(I12="",J12=""),"",J12-I12)</f>
        <v/>
      </c>
      <c r="L12" s="20">
        <f>IF(OR(I12="",J12="",I12=0),"",J12/I12-1)</f>
        <v/>
      </c>
      <c r="M12" s="5" t="n"/>
      <c r="N12" s="5" t="n"/>
      <c r="O12" s="25">
        <f>IF($D12="",0,IFERROR(MATCH($D12,Servicios!$A$9:$A$38,0),0))</f>
        <v/>
      </c>
      <c r="P12" s="25">
        <f>IF(OR(I12="",J12=""),"",IF(ABS(J12-I12)&lt;=0.05*I12,1,0))</f>
        <v/>
      </c>
    </row>
    <row r="13">
      <c r="A13" s="10" t="n"/>
      <c r="B13" s="5" t="n"/>
      <c r="C13" s="5" t="n"/>
      <c r="D13" s="5" t="n"/>
      <c r="E13" s="5" t="n"/>
      <c r="F13" s="5" t="n"/>
      <c r="G13" s="5" t="n"/>
      <c r="H13" s="5" t="n"/>
      <c r="I13" s="19">
        <f>IF($O13=0,"",ROUND((INDEX(Servicios!$C$9:$C$38,MAX(1,$O13))+IF(INDEX(Servicios!$D$9:$D$38,MAX(1,$O13))="Sí",SUMIFS(Ajustes!$D$5:$D$18,Ajustes!$A$5:$A$18,"Largo",Ajustes!$B$5:$B$18,""&amp;$E13),0)+IF(INDEX(Servicios!$E$9:$E$38,MAX(1,$O13))="Sí",SUMIFS(Ajustes!$D$5:$D$18,Ajustes!$A$5:$A$18,"Densidad",Ajustes!$B$5:$B$18,""&amp;$F13),0)+IF(INDEX(Servicios!$F$9:$F$38,MAX(1,$O13))="Sí",SUMIFS(Ajustes!$D$5:$D$18,Ajustes!$A$5:$A$18,"Estado de la fibra",Ajustes!$B$5:$B$18,""&amp;$G13),0)+IF(INDEX(Servicios!$G$9:$G$38,MAX(1,$O13))="Sí",SUMIFS(Ajustes!$D$5:$D$18,Ajustes!$A$5:$A$18,"Canas",Ajustes!$B$5:$B$18,""&amp;$H13),0))*(1+IF(INDEX(Servicios!$D$9:$D$38,MAX(1,$O13))="Sí",SUMIFS(Ajustes!$E$5:$E$18,Ajustes!$A$5:$A$18,"Largo",Ajustes!$B$5:$B$18,""&amp;$E13),0)+IF(INDEX(Servicios!$E$9:$E$38,MAX(1,$O13))="Sí",SUMIFS(Ajustes!$E$5:$E$18,Ajustes!$A$5:$A$18,"Densidad",Ajustes!$B$5:$B$18,""&amp;$F13),0)+IF(INDEX(Servicios!$F$9:$F$38,MAX(1,$O13))="Sí",SUMIFS(Ajustes!$E$5:$E$18,Ajustes!$A$5:$A$18,"Estado de la fibra",Ajustes!$B$5:$B$18,""&amp;$G13),0)+IF(INDEX(Servicios!$G$9:$G$38,MAX(1,$O13))="Sí",SUMIFS(Ajustes!$E$5:$E$18,Ajustes!$A$5:$A$18,"Canas",Ajustes!$B$5:$B$18,""&amp;$H13),0))/MAX(1,Servicios!$E$5),0)*MAX(1,Servicios!$E$5))</f>
        <v/>
      </c>
      <c r="J13" s="11" t="n"/>
      <c r="K13" s="19">
        <f>IF(OR(I13="",J13=""),"",J13-I13)</f>
        <v/>
      </c>
      <c r="L13" s="20">
        <f>IF(OR(I13="",J13="",I13=0),"",J13/I13-1)</f>
        <v/>
      </c>
      <c r="M13" s="5" t="n"/>
      <c r="N13" s="5" t="n"/>
      <c r="O13" s="25">
        <f>IF($D13="",0,IFERROR(MATCH($D13,Servicios!$A$9:$A$38,0),0))</f>
        <v/>
      </c>
      <c r="P13" s="25">
        <f>IF(OR(I13="",J13=""),"",IF(ABS(J13-I13)&lt;=0.05*I13,1,0))</f>
        <v/>
      </c>
    </row>
    <row r="14">
      <c r="A14" s="10" t="n"/>
      <c r="B14" s="5" t="n"/>
      <c r="C14" s="5" t="n"/>
      <c r="D14" s="5" t="n"/>
      <c r="E14" s="5" t="n"/>
      <c r="F14" s="5" t="n"/>
      <c r="G14" s="5" t="n"/>
      <c r="H14" s="5" t="n"/>
      <c r="I14" s="19">
        <f>IF($O14=0,"",ROUND((INDEX(Servicios!$C$9:$C$38,MAX(1,$O14))+IF(INDEX(Servicios!$D$9:$D$38,MAX(1,$O14))="Sí",SUMIFS(Ajustes!$D$5:$D$18,Ajustes!$A$5:$A$18,"Largo",Ajustes!$B$5:$B$18,""&amp;$E14),0)+IF(INDEX(Servicios!$E$9:$E$38,MAX(1,$O14))="Sí",SUMIFS(Ajustes!$D$5:$D$18,Ajustes!$A$5:$A$18,"Densidad",Ajustes!$B$5:$B$18,""&amp;$F14),0)+IF(INDEX(Servicios!$F$9:$F$38,MAX(1,$O14))="Sí",SUMIFS(Ajustes!$D$5:$D$18,Ajustes!$A$5:$A$18,"Estado de la fibra",Ajustes!$B$5:$B$18,""&amp;$G14),0)+IF(INDEX(Servicios!$G$9:$G$38,MAX(1,$O14))="Sí",SUMIFS(Ajustes!$D$5:$D$18,Ajustes!$A$5:$A$18,"Canas",Ajustes!$B$5:$B$18,""&amp;$H14),0))*(1+IF(INDEX(Servicios!$D$9:$D$38,MAX(1,$O14))="Sí",SUMIFS(Ajustes!$E$5:$E$18,Ajustes!$A$5:$A$18,"Largo",Ajustes!$B$5:$B$18,""&amp;$E14),0)+IF(INDEX(Servicios!$E$9:$E$38,MAX(1,$O14))="Sí",SUMIFS(Ajustes!$E$5:$E$18,Ajustes!$A$5:$A$18,"Densidad",Ajustes!$B$5:$B$18,""&amp;$F14),0)+IF(INDEX(Servicios!$F$9:$F$38,MAX(1,$O14))="Sí",SUMIFS(Ajustes!$E$5:$E$18,Ajustes!$A$5:$A$18,"Estado de la fibra",Ajustes!$B$5:$B$18,""&amp;$G14),0)+IF(INDEX(Servicios!$G$9:$G$38,MAX(1,$O14))="Sí",SUMIFS(Ajustes!$E$5:$E$18,Ajustes!$A$5:$A$18,"Canas",Ajustes!$B$5:$B$18,""&amp;$H14),0))/MAX(1,Servicios!$E$5),0)*MAX(1,Servicios!$E$5))</f>
        <v/>
      </c>
      <c r="J14" s="11" t="n"/>
      <c r="K14" s="19">
        <f>IF(OR(I14="",J14=""),"",J14-I14)</f>
        <v/>
      </c>
      <c r="L14" s="20">
        <f>IF(OR(I14="",J14="",I14=0),"",J14/I14-1)</f>
        <v/>
      </c>
      <c r="M14" s="5" t="n"/>
      <c r="N14" s="5" t="n"/>
      <c r="O14" s="25">
        <f>IF($D14="",0,IFERROR(MATCH($D14,Servicios!$A$9:$A$38,0),0))</f>
        <v/>
      </c>
      <c r="P14" s="25">
        <f>IF(OR(I14="",J14=""),"",IF(ABS(J14-I14)&lt;=0.05*I14,1,0))</f>
        <v/>
      </c>
    </row>
    <row r="15">
      <c r="A15" s="10" t="n"/>
      <c r="B15" s="5" t="n"/>
      <c r="C15" s="5" t="n"/>
      <c r="D15" s="5" t="n"/>
      <c r="E15" s="5" t="n"/>
      <c r="F15" s="5" t="n"/>
      <c r="G15" s="5" t="n"/>
      <c r="H15" s="5" t="n"/>
      <c r="I15" s="19">
        <f>IF($O15=0,"",ROUND((INDEX(Servicios!$C$9:$C$38,MAX(1,$O15))+IF(INDEX(Servicios!$D$9:$D$38,MAX(1,$O15))="Sí",SUMIFS(Ajustes!$D$5:$D$18,Ajustes!$A$5:$A$18,"Largo",Ajustes!$B$5:$B$18,""&amp;$E15),0)+IF(INDEX(Servicios!$E$9:$E$38,MAX(1,$O15))="Sí",SUMIFS(Ajustes!$D$5:$D$18,Ajustes!$A$5:$A$18,"Densidad",Ajustes!$B$5:$B$18,""&amp;$F15),0)+IF(INDEX(Servicios!$F$9:$F$38,MAX(1,$O15))="Sí",SUMIFS(Ajustes!$D$5:$D$18,Ajustes!$A$5:$A$18,"Estado de la fibra",Ajustes!$B$5:$B$18,""&amp;$G15),0)+IF(INDEX(Servicios!$G$9:$G$38,MAX(1,$O15))="Sí",SUMIFS(Ajustes!$D$5:$D$18,Ajustes!$A$5:$A$18,"Canas",Ajustes!$B$5:$B$18,""&amp;$H15),0))*(1+IF(INDEX(Servicios!$D$9:$D$38,MAX(1,$O15))="Sí",SUMIFS(Ajustes!$E$5:$E$18,Ajustes!$A$5:$A$18,"Largo",Ajustes!$B$5:$B$18,""&amp;$E15),0)+IF(INDEX(Servicios!$E$9:$E$38,MAX(1,$O15))="Sí",SUMIFS(Ajustes!$E$5:$E$18,Ajustes!$A$5:$A$18,"Densidad",Ajustes!$B$5:$B$18,""&amp;$F15),0)+IF(INDEX(Servicios!$F$9:$F$38,MAX(1,$O15))="Sí",SUMIFS(Ajustes!$E$5:$E$18,Ajustes!$A$5:$A$18,"Estado de la fibra",Ajustes!$B$5:$B$18,""&amp;$G15),0)+IF(INDEX(Servicios!$G$9:$G$38,MAX(1,$O15))="Sí",SUMIFS(Ajustes!$E$5:$E$18,Ajustes!$A$5:$A$18,"Canas",Ajustes!$B$5:$B$18,""&amp;$H15),0))/MAX(1,Servicios!$E$5),0)*MAX(1,Servicios!$E$5))</f>
        <v/>
      </c>
      <c r="J15" s="11" t="n"/>
      <c r="K15" s="19">
        <f>IF(OR(I15="",J15=""),"",J15-I15)</f>
        <v/>
      </c>
      <c r="L15" s="20">
        <f>IF(OR(I15="",J15="",I15=0),"",J15/I15-1)</f>
        <v/>
      </c>
      <c r="M15" s="5" t="n"/>
      <c r="N15" s="5" t="n"/>
      <c r="O15" s="25">
        <f>IF($D15="",0,IFERROR(MATCH($D15,Servicios!$A$9:$A$38,0),0))</f>
        <v/>
      </c>
      <c r="P15" s="25">
        <f>IF(OR(I15="",J15=""),"",IF(ABS(J15-I15)&lt;=0.05*I15,1,0))</f>
        <v/>
      </c>
    </row>
    <row r="16">
      <c r="A16" s="10" t="n"/>
      <c r="B16" s="5" t="n"/>
      <c r="C16" s="5" t="n"/>
      <c r="D16" s="5" t="n"/>
      <c r="E16" s="5" t="n"/>
      <c r="F16" s="5" t="n"/>
      <c r="G16" s="5" t="n"/>
      <c r="H16" s="5" t="n"/>
      <c r="I16" s="19">
        <f>IF($O16=0,"",ROUND((INDEX(Servicios!$C$9:$C$38,MAX(1,$O16))+IF(INDEX(Servicios!$D$9:$D$38,MAX(1,$O16))="Sí",SUMIFS(Ajustes!$D$5:$D$18,Ajustes!$A$5:$A$18,"Largo",Ajustes!$B$5:$B$18,""&amp;$E16),0)+IF(INDEX(Servicios!$E$9:$E$38,MAX(1,$O16))="Sí",SUMIFS(Ajustes!$D$5:$D$18,Ajustes!$A$5:$A$18,"Densidad",Ajustes!$B$5:$B$18,""&amp;$F16),0)+IF(INDEX(Servicios!$F$9:$F$38,MAX(1,$O16))="Sí",SUMIFS(Ajustes!$D$5:$D$18,Ajustes!$A$5:$A$18,"Estado de la fibra",Ajustes!$B$5:$B$18,""&amp;$G16),0)+IF(INDEX(Servicios!$G$9:$G$38,MAX(1,$O16))="Sí",SUMIFS(Ajustes!$D$5:$D$18,Ajustes!$A$5:$A$18,"Canas",Ajustes!$B$5:$B$18,""&amp;$H16),0))*(1+IF(INDEX(Servicios!$D$9:$D$38,MAX(1,$O16))="Sí",SUMIFS(Ajustes!$E$5:$E$18,Ajustes!$A$5:$A$18,"Largo",Ajustes!$B$5:$B$18,""&amp;$E16),0)+IF(INDEX(Servicios!$E$9:$E$38,MAX(1,$O16))="Sí",SUMIFS(Ajustes!$E$5:$E$18,Ajustes!$A$5:$A$18,"Densidad",Ajustes!$B$5:$B$18,""&amp;$F16),0)+IF(INDEX(Servicios!$F$9:$F$38,MAX(1,$O16))="Sí",SUMIFS(Ajustes!$E$5:$E$18,Ajustes!$A$5:$A$18,"Estado de la fibra",Ajustes!$B$5:$B$18,""&amp;$G16),0)+IF(INDEX(Servicios!$G$9:$G$38,MAX(1,$O16))="Sí",SUMIFS(Ajustes!$E$5:$E$18,Ajustes!$A$5:$A$18,"Canas",Ajustes!$B$5:$B$18,""&amp;$H16),0))/MAX(1,Servicios!$E$5),0)*MAX(1,Servicios!$E$5))</f>
        <v/>
      </c>
      <c r="J16" s="11" t="n"/>
      <c r="K16" s="19">
        <f>IF(OR(I16="",J16=""),"",J16-I16)</f>
        <v/>
      </c>
      <c r="L16" s="20">
        <f>IF(OR(I16="",J16="",I16=0),"",J16/I16-1)</f>
        <v/>
      </c>
      <c r="M16" s="5" t="n"/>
      <c r="N16" s="5" t="n"/>
      <c r="O16" s="25">
        <f>IF($D16="",0,IFERROR(MATCH($D16,Servicios!$A$9:$A$38,0),0))</f>
        <v/>
      </c>
      <c r="P16" s="25">
        <f>IF(OR(I16="",J16=""),"",IF(ABS(J16-I16)&lt;=0.05*I16,1,0))</f>
        <v/>
      </c>
    </row>
    <row r="17">
      <c r="A17" s="10" t="n"/>
      <c r="B17" s="5" t="n"/>
      <c r="C17" s="5" t="n"/>
      <c r="D17" s="5" t="n"/>
      <c r="E17" s="5" t="n"/>
      <c r="F17" s="5" t="n"/>
      <c r="G17" s="5" t="n"/>
      <c r="H17" s="5" t="n"/>
      <c r="I17" s="19">
        <f>IF($O17=0,"",ROUND((INDEX(Servicios!$C$9:$C$38,MAX(1,$O17))+IF(INDEX(Servicios!$D$9:$D$38,MAX(1,$O17))="Sí",SUMIFS(Ajustes!$D$5:$D$18,Ajustes!$A$5:$A$18,"Largo",Ajustes!$B$5:$B$18,""&amp;$E17),0)+IF(INDEX(Servicios!$E$9:$E$38,MAX(1,$O17))="Sí",SUMIFS(Ajustes!$D$5:$D$18,Ajustes!$A$5:$A$18,"Densidad",Ajustes!$B$5:$B$18,""&amp;$F17),0)+IF(INDEX(Servicios!$F$9:$F$38,MAX(1,$O17))="Sí",SUMIFS(Ajustes!$D$5:$D$18,Ajustes!$A$5:$A$18,"Estado de la fibra",Ajustes!$B$5:$B$18,""&amp;$G17),0)+IF(INDEX(Servicios!$G$9:$G$38,MAX(1,$O17))="Sí",SUMIFS(Ajustes!$D$5:$D$18,Ajustes!$A$5:$A$18,"Canas",Ajustes!$B$5:$B$18,""&amp;$H17),0))*(1+IF(INDEX(Servicios!$D$9:$D$38,MAX(1,$O17))="Sí",SUMIFS(Ajustes!$E$5:$E$18,Ajustes!$A$5:$A$18,"Largo",Ajustes!$B$5:$B$18,""&amp;$E17),0)+IF(INDEX(Servicios!$E$9:$E$38,MAX(1,$O17))="Sí",SUMIFS(Ajustes!$E$5:$E$18,Ajustes!$A$5:$A$18,"Densidad",Ajustes!$B$5:$B$18,""&amp;$F17),0)+IF(INDEX(Servicios!$F$9:$F$38,MAX(1,$O17))="Sí",SUMIFS(Ajustes!$E$5:$E$18,Ajustes!$A$5:$A$18,"Estado de la fibra",Ajustes!$B$5:$B$18,""&amp;$G17),0)+IF(INDEX(Servicios!$G$9:$G$38,MAX(1,$O17))="Sí",SUMIFS(Ajustes!$E$5:$E$18,Ajustes!$A$5:$A$18,"Canas",Ajustes!$B$5:$B$18,""&amp;$H17),0))/MAX(1,Servicios!$E$5),0)*MAX(1,Servicios!$E$5))</f>
        <v/>
      </c>
      <c r="J17" s="11" t="n"/>
      <c r="K17" s="19">
        <f>IF(OR(I17="",J17=""),"",J17-I17)</f>
        <v/>
      </c>
      <c r="L17" s="20">
        <f>IF(OR(I17="",J17="",I17=0),"",J17/I17-1)</f>
        <v/>
      </c>
      <c r="M17" s="5" t="n"/>
      <c r="N17" s="5" t="n"/>
      <c r="O17" s="25">
        <f>IF($D17="",0,IFERROR(MATCH($D17,Servicios!$A$9:$A$38,0),0))</f>
        <v/>
      </c>
      <c r="P17" s="25">
        <f>IF(OR(I17="",J17=""),"",IF(ABS(J17-I17)&lt;=0.05*I17,1,0))</f>
        <v/>
      </c>
    </row>
    <row r="18">
      <c r="A18" s="10" t="n"/>
      <c r="B18" s="5" t="n"/>
      <c r="C18" s="5" t="n"/>
      <c r="D18" s="5" t="n"/>
      <c r="E18" s="5" t="n"/>
      <c r="F18" s="5" t="n"/>
      <c r="G18" s="5" t="n"/>
      <c r="H18" s="5" t="n"/>
      <c r="I18" s="19">
        <f>IF($O18=0,"",ROUND((INDEX(Servicios!$C$9:$C$38,MAX(1,$O18))+IF(INDEX(Servicios!$D$9:$D$38,MAX(1,$O18))="Sí",SUMIFS(Ajustes!$D$5:$D$18,Ajustes!$A$5:$A$18,"Largo",Ajustes!$B$5:$B$18,""&amp;$E18),0)+IF(INDEX(Servicios!$E$9:$E$38,MAX(1,$O18))="Sí",SUMIFS(Ajustes!$D$5:$D$18,Ajustes!$A$5:$A$18,"Densidad",Ajustes!$B$5:$B$18,""&amp;$F18),0)+IF(INDEX(Servicios!$F$9:$F$38,MAX(1,$O18))="Sí",SUMIFS(Ajustes!$D$5:$D$18,Ajustes!$A$5:$A$18,"Estado de la fibra",Ajustes!$B$5:$B$18,""&amp;$G18),0)+IF(INDEX(Servicios!$G$9:$G$38,MAX(1,$O18))="Sí",SUMIFS(Ajustes!$D$5:$D$18,Ajustes!$A$5:$A$18,"Canas",Ajustes!$B$5:$B$18,""&amp;$H18),0))*(1+IF(INDEX(Servicios!$D$9:$D$38,MAX(1,$O18))="Sí",SUMIFS(Ajustes!$E$5:$E$18,Ajustes!$A$5:$A$18,"Largo",Ajustes!$B$5:$B$18,""&amp;$E18),0)+IF(INDEX(Servicios!$E$9:$E$38,MAX(1,$O18))="Sí",SUMIFS(Ajustes!$E$5:$E$18,Ajustes!$A$5:$A$18,"Densidad",Ajustes!$B$5:$B$18,""&amp;$F18),0)+IF(INDEX(Servicios!$F$9:$F$38,MAX(1,$O18))="Sí",SUMIFS(Ajustes!$E$5:$E$18,Ajustes!$A$5:$A$18,"Estado de la fibra",Ajustes!$B$5:$B$18,""&amp;$G18),0)+IF(INDEX(Servicios!$G$9:$G$38,MAX(1,$O18))="Sí",SUMIFS(Ajustes!$E$5:$E$18,Ajustes!$A$5:$A$18,"Canas",Ajustes!$B$5:$B$18,""&amp;$H18),0))/MAX(1,Servicios!$E$5),0)*MAX(1,Servicios!$E$5))</f>
        <v/>
      </c>
      <c r="J18" s="11" t="n"/>
      <c r="K18" s="19">
        <f>IF(OR(I18="",J18=""),"",J18-I18)</f>
        <v/>
      </c>
      <c r="L18" s="20">
        <f>IF(OR(I18="",J18="",I18=0),"",J18/I18-1)</f>
        <v/>
      </c>
      <c r="M18" s="5" t="n"/>
      <c r="N18" s="5" t="n"/>
      <c r="O18" s="25">
        <f>IF($D18="",0,IFERROR(MATCH($D18,Servicios!$A$9:$A$38,0),0))</f>
        <v/>
      </c>
      <c r="P18" s="25">
        <f>IF(OR(I18="",J18=""),"",IF(ABS(J18-I18)&lt;=0.05*I18,1,0))</f>
        <v/>
      </c>
    </row>
    <row r="19">
      <c r="A19" s="10" t="n"/>
      <c r="B19" s="5" t="n"/>
      <c r="C19" s="5" t="n"/>
      <c r="D19" s="5" t="n"/>
      <c r="E19" s="5" t="n"/>
      <c r="F19" s="5" t="n"/>
      <c r="G19" s="5" t="n"/>
      <c r="H19" s="5" t="n"/>
      <c r="I19" s="19">
        <f>IF($O19=0,"",ROUND((INDEX(Servicios!$C$9:$C$38,MAX(1,$O19))+IF(INDEX(Servicios!$D$9:$D$38,MAX(1,$O19))="Sí",SUMIFS(Ajustes!$D$5:$D$18,Ajustes!$A$5:$A$18,"Largo",Ajustes!$B$5:$B$18,""&amp;$E19),0)+IF(INDEX(Servicios!$E$9:$E$38,MAX(1,$O19))="Sí",SUMIFS(Ajustes!$D$5:$D$18,Ajustes!$A$5:$A$18,"Densidad",Ajustes!$B$5:$B$18,""&amp;$F19),0)+IF(INDEX(Servicios!$F$9:$F$38,MAX(1,$O19))="Sí",SUMIFS(Ajustes!$D$5:$D$18,Ajustes!$A$5:$A$18,"Estado de la fibra",Ajustes!$B$5:$B$18,""&amp;$G19),0)+IF(INDEX(Servicios!$G$9:$G$38,MAX(1,$O19))="Sí",SUMIFS(Ajustes!$D$5:$D$18,Ajustes!$A$5:$A$18,"Canas",Ajustes!$B$5:$B$18,""&amp;$H19),0))*(1+IF(INDEX(Servicios!$D$9:$D$38,MAX(1,$O19))="Sí",SUMIFS(Ajustes!$E$5:$E$18,Ajustes!$A$5:$A$18,"Largo",Ajustes!$B$5:$B$18,""&amp;$E19),0)+IF(INDEX(Servicios!$E$9:$E$38,MAX(1,$O19))="Sí",SUMIFS(Ajustes!$E$5:$E$18,Ajustes!$A$5:$A$18,"Densidad",Ajustes!$B$5:$B$18,""&amp;$F19),0)+IF(INDEX(Servicios!$F$9:$F$38,MAX(1,$O19))="Sí",SUMIFS(Ajustes!$E$5:$E$18,Ajustes!$A$5:$A$18,"Estado de la fibra",Ajustes!$B$5:$B$18,""&amp;$G19),0)+IF(INDEX(Servicios!$G$9:$G$38,MAX(1,$O19))="Sí",SUMIFS(Ajustes!$E$5:$E$18,Ajustes!$A$5:$A$18,"Canas",Ajustes!$B$5:$B$18,""&amp;$H19),0))/MAX(1,Servicios!$E$5),0)*MAX(1,Servicios!$E$5))</f>
        <v/>
      </c>
      <c r="J19" s="11" t="n"/>
      <c r="K19" s="19">
        <f>IF(OR(I19="",J19=""),"",J19-I19)</f>
        <v/>
      </c>
      <c r="L19" s="20">
        <f>IF(OR(I19="",J19="",I19=0),"",J19/I19-1)</f>
        <v/>
      </c>
      <c r="M19" s="5" t="n"/>
      <c r="N19" s="5" t="n"/>
      <c r="O19" s="25">
        <f>IF($D19="",0,IFERROR(MATCH($D19,Servicios!$A$9:$A$38,0),0))</f>
        <v/>
      </c>
      <c r="P19" s="25">
        <f>IF(OR(I19="",J19=""),"",IF(ABS(J19-I19)&lt;=0.05*I19,1,0))</f>
        <v/>
      </c>
    </row>
    <row r="20">
      <c r="A20" s="10" t="n"/>
      <c r="B20" s="5" t="n"/>
      <c r="C20" s="5" t="n"/>
      <c r="D20" s="5" t="n"/>
      <c r="E20" s="5" t="n"/>
      <c r="F20" s="5" t="n"/>
      <c r="G20" s="5" t="n"/>
      <c r="H20" s="5" t="n"/>
      <c r="I20" s="19">
        <f>IF($O20=0,"",ROUND((INDEX(Servicios!$C$9:$C$38,MAX(1,$O20))+IF(INDEX(Servicios!$D$9:$D$38,MAX(1,$O20))="Sí",SUMIFS(Ajustes!$D$5:$D$18,Ajustes!$A$5:$A$18,"Largo",Ajustes!$B$5:$B$18,""&amp;$E20),0)+IF(INDEX(Servicios!$E$9:$E$38,MAX(1,$O20))="Sí",SUMIFS(Ajustes!$D$5:$D$18,Ajustes!$A$5:$A$18,"Densidad",Ajustes!$B$5:$B$18,""&amp;$F20),0)+IF(INDEX(Servicios!$F$9:$F$38,MAX(1,$O20))="Sí",SUMIFS(Ajustes!$D$5:$D$18,Ajustes!$A$5:$A$18,"Estado de la fibra",Ajustes!$B$5:$B$18,""&amp;$G20),0)+IF(INDEX(Servicios!$G$9:$G$38,MAX(1,$O20))="Sí",SUMIFS(Ajustes!$D$5:$D$18,Ajustes!$A$5:$A$18,"Canas",Ajustes!$B$5:$B$18,""&amp;$H20),0))*(1+IF(INDEX(Servicios!$D$9:$D$38,MAX(1,$O20))="Sí",SUMIFS(Ajustes!$E$5:$E$18,Ajustes!$A$5:$A$18,"Largo",Ajustes!$B$5:$B$18,""&amp;$E20),0)+IF(INDEX(Servicios!$E$9:$E$38,MAX(1,$O20))="Sí",SUMIFS(Ajustes!$E$5:$E$18,Ajustes!$A$5:$A$18,"Densidad",Ajustes!$B$5:$B$18,""&amp;$F20),0)+IF(INDEX(Servicios!$F$9:$F$38,MAX(1,$O20))="Sí",SUMIFS(Ajustes!$E$5:$E$18,Ajustes!$A$5:$A$18,"Estado de la fibra",Ajustes!$B$5:$B$18,""&amp;$G20),0)+IF(INDEX(Servicios!$G$9:$G$38,MAX(1,$O20))="Sí",SUMIFS(Ajustes!$E$5:$E$18,Ajustes!$A$5:$A$18,"Canas",Ajustes!$B$5:$B$18,""&amp;$H20),0))/MAX(1,Servicios!$E$5),0)*MAX(1,Servicios!$E$5))</f>
        <v/>
      </c>
      <c r="J20" s="11" t="n"/>
      <c r="K20" s="19">
        <f>IF(OR(I20="",J20=""),"",J20-I20)</f>
        <v/>
      </c>
      <c r="L20" s="20">
        <f>IF(OR(I20="",J20="",I20=0),"",J20/I20-1)</f>
        <v/>
      </c>
      <c r="M20" s="5" t="n"/>
      <c r="N20" s="5" t="n"/>
      <c r="O20" s="25">
        <f>IF($D20="",0,IFERROR(MATCH($D20,Servicios!$A$9:$A$38,0),0))</f>
        <v/>
      </c>
      <c r="P20" s="25">
        <f>IF(OR(I20="",J20=""),"",IF(ABS(J20-I20)&lt;=0.05*I20,1,0))</f>
        <v/>
      </c>
    </row>
    <row r="21">
      <c r="A21" s="10" t="n"/>
      <c r="B21" s="5" t="n"/>
      <c r="C21" s="5" t="n"/>
      <c r="D21" s="5" t="n"/>
      <c r="E21" s="5" t="n"/>
      <c r="F21" s="5" t="n"/>
      <c r="G21" s="5" t="n"/>
      <c r="H21" s="5" t="n"/>
      <c r="I21" s="19">
        <f>IF($O21=0,"",ROUND((INDEX(Servicios!$C$9:$C$38,MAX(1,$O21))+IF(INDEX(Servicios!$D$9:$D$38,MAX(1,$O21))="Sí",SUMIFS(Ajustes!$D$5:$D$18,Ajustes!$A$5:$A$18,"Largo",Ajustes!$B$5:$B$18,""&amp;$E21),0)+IF(INDEX(Servicios!$E$9:$E$38,MAX(1,$O21))="Sí",SUMIFS(Ajustes!$D$5:$D$18,Ajustes!$A$5:$A$18,"Densidad",Ajustes!$B$5:$B$18,""&amp;$F21),0)+IF(INDEX(Servicios!$F$9:$F$38,MAX(1,$O21))="Sí",SUMIFS(Ajustes!$D$5:$D$18,Ajustes!$A$5:$A$18,"Estado de la fibra",Ajustes!$B$5:$B$18,""&amp;$G21),0)+IF(INDEX(Servicios!$G$9:$G$38,MAX(1,$O21))="Sí",SUMIFS(Ajustes!$D$5:$D$18,Ajustes!$A$5:$A$18,"Canas",Ajustes!$B$5:$B$18,""&amp;$H21),0))*(1+IF(INDEX(Servicios!$D$9:$D$38,MAX(1,$O21))="Sí",SUMIFS(Ajustes!$E$5:$E$18,Ajustes!$A$5:$A$18,"Largo",Ajustes!$B$5:$B$18,""&amp;$E21),0)+IF(INDEX(Servicios!$E$9:$E$38,MAX(1,$O21))="Sí",SUMIFS(Ajustes!$E$5:$E$18,Ajustes!$A$5:$A$18,"Densidad",Ajustes!$B$5:$B$18,""&amp;$F21),0)+IF(INDEX(Servicios!$F$9:$F$38,MAX(1,$O21))="Sí",SUMIFS(Ajustes!$E$5:$E$18,Ajustes!$A$5:$A$18,"Estado de la fibra",Ajustes!$B$5:$B$18,""&amp;$G21),0)+IF(INDEX(Servicios!$G$9:$G$38,MAX(1,$O21))="Sí",SUMIFS(Ajustes!$E$5:$E$18,Ajustes!$A$5:$A$18,"Canas",Ajustes!$B$5:$B$18,""&amp;$H21),0))/MAX(1,Servicios!$E$5),0)*MAX(1,Servicios!$E$5))</f>
        <v/>
      </c>
      <c r="J21" s="11" t="n"/>
      <c r="K21" s="19">
        <f>IF(OR(I21="",J21=""),"",J21-I21)</f>
        <v/>
      </c>
      <c r="L21" s="20">
        <f>IF(OR(I21="",J21="",I21=0),"",J21/I21-1)</f>
        <v/>
      </c>
      <c r="M21" s="5" t="n"/>
      <c r="N21" s="5" t="n"/>
      <c r="O21" s="25">
        <f>IF($D21="",0,IFERROR(MATCH($D21,Servicios!$A$9:$A$38,0),0))</f>
        <v/>
      </c>
      <c r="P21" s="25">
        <f>IF(OR(I21="",J21=""),"",IF(ABS(J21-I21)&lt;=0.05*I21,1,0))</f>
        <v/>
      </c>
    </row>
    <row r="22">
      <c r="A22" s="10" t="n"/>
      <c r="B22" s="5" t="n"/>
      <c r="C22" s="5" t="n"/>
      <c r="D22" s="5" t="n"/>
      <c r="E22" s="5" t="n"/>
      <c r="F22" s="5" t="n"/>
      <c r="G22" s="5" t="n"/>
      <c r="H22" s="5" t="n"/>
      <c r="I22" s="19">
        <f>IF($O22=0,"",ROUND((INDEX(Servicios!$C$9:$C$38,MAX(1,$O22))+IF(INDEX(Servicios!$D$9:$D$38,MAX(1,$O22))="Sí",SUMIFS(Ajustes!$D$5:$D$18,Ajustes!$A$5:$A$18,"Largo",Ajustes!$B$5:$B$18,""&amp;$E22),0)+IF(INDEX(Servicios!$E$9:$E$38,MAX(1,$O22))="Sí",SUMIFS(Ajustes!$D$5:$D$18,Ajustes!$A$5:$A$18,"Densidad",Ajustes!$B$5:$B$18,""&amp;$F22),0)+IF(INDEX(Servicios!$F$9:$F$38,MAX(1,$O22))="Sí",SUMIFS(Ajustes!$D$5:$D$18,Ajustes!$A$5:$A$18,"Estado de la fibra",Ajustes!$B$5:$B$18,""&amp;$G22),0)+IF(INDEX(Servicios!$G$9:$G$38,MAX(1,$O22))="Sí",SUMIFS(Ajustes!$D$5:$D$18,Ajustes!$A$5:$A$18,"Canas",Ajustes!$B$5:$B$18,""&amp;$H22),0))*(1+IF(INDEX(Servicios!$D$9:$D$38,MAX(1,$O22))="Sí",SUMIFS(Ajustes!$E$5:$E$18,Ajustes!$A$5:$A$18,"Largo",Ajustes!$B$5:$B$18,""&amp;$E22),0)+IF(INDEX(Servicios!$E$9:$E$38,MAX(1,$O22))="Sí",SUMIFS(Ajustes!$E$5:$E$18,Ajustes!$A$5:$A$18,"Densidad",Ajustes!$B$5:$B$18,""&amp;$F22),0)+IF(INDEX(Servicios!$F$9:$F$38,MAX(1,$O22))="Sí",SUMIFS(Ajustes!$E$5:$E$18,Ajustes!$A$5:$A$18,"Estado de la fibra",Ajustes!$B$5:$B$18,""&amp;$G22),0)+IF(INDEX(Servicios!$G$9:$G$38,MAX(1,$O22))="Sí",SUMIFS(Ajustes!$E$5:$E$18,Ajustes!$A$5:$A$18,"Canas",Ajustes!$B$5:$B$18,""&amp;$H22),0))/MAX(1,Servicios!$E$5),0)*MAX(1,Servicios!$E$5))</f>
        <v/>
      </c>
      <c r="J22" s="11" t="n"/>
      <c r="K22" s="19">
        <f>IF(OR(I22="",J22=""),"",J22-I22)</f>
        <v/>
      </c>
      <c r="L22" s="20">
        <f>IF(OR(I22="",J22="",I22=0),"",J22/I22-1)</f>
        <v/>
      </c>
      <c r="M22" s="5" t="n"/>
      <c r="N22" s="5" t="n"/>
      <c r="O22" s="25">
        <f>IF($D22="",0,IFERROR(MATCH($D22,Servicios!$A$9:$A$38,0),0))</f>
        <v/>
      </c>
      <c r="P22" s="25">
        <f>IF(OR(I22="",J22=""),"",IF(ABS(J22-I22)&lt;=0.05*I22,1,0))</f>
        <v/>
      </c>
    </row>
    <row r="23">
      <c r="A23" s="10" t="n"/>
      <c r="B23" s="5" t="n"/>
      <c r="C23" s="5" t="n"/>
      <c r="D23" s="5" t="n"/>
      <c r="E23" s="5" t="n"/>
      <c r="F23" s="5" t="n"/>
      <c r="G23" s="5" t="n"/>
      <c r="H23" s="5" t="n"/>
      <c r="I23" s="19">
        <f>IF($O23=0,"",ROUND((INDEX(Servicios!$C$9:$C$38,MAX(1,$O23))+IF(INDEX(Servicios!$D$9:$D$38,MAX(1,$O23))="Sí",SUMIFS(Ajustes!$D$5:$D$18,Ajustes!$A$5:$A$18,"Largo",Ajustes!$B$5:$B$18,""&amp;$E23),0)+IF(INDEX(Servicios!$E$9:$E$38,MAX(1,$O23))="Sí",SUMIFS(Ajustes!$D$5:$D$18,Ajustes!$A$5:$A$18,"Densidad",Ajustes!$B$5:$B$18,""&amp;$F23),0)+IF(INDEX(Servicios!$F$9:$F$38,MAX(1,$O23))="Sí",SUMIFS(Ajustes!$D$5:$D$18,Ajustes!$A$5:$A$18,"Estado de la fibra",Ajustes!$B$5:$B$18,""&amp;$G23),0)+IF(INDEX(Servicios!$G$9:$G$38,MAX(1,$O23))="Sí",SUMIFS(Ajustes!$D$5:$D$18,Ajustes!$A$5:$A$18,"Canas",Ajustes!$B$5:$B$18,""&amp;$H23),0))*(1+IF(INDEX(Servicios!$D$9:$D$38,MAX(1,$O23))="Sí",SUMIFS(Ajustes!$E$5:$E$18,Ajustes!$A$5:$A$18,"Largo",Ajustes!$B$5:$B$18,""&amp;$E23),0)+IF(INDEX(Servicios!$E$9:$E$38,MAX(1,$O23))="Sí",SUMIFS(Ajustes!$E$5:$E$18,Ajustes!$A$5:$A$18,"Densidad",Ajustes!$B$5:$B$18,""&amp;$F23),0)+IF(INDEX(Servicios!$F$9:$F$38,MAX(1,$O23))="Sí",SUMIFS(Ajustes!$E$5:$E$18,Ajustes!$A$5:$A$18,"Estado de la fibra",Ajustes!$B$5:$B$18,""&amp;$G23),0)+IF(INDEX(Servicios!$G$9:$G$38,MAX(1,$O23))="Sí",SUMIFS(Ajustes!$E$5:$E$18,Ajustes!$A$5:$A$18,"Canas",Ajustes!$B$5:$B$18,""&amp;$H23),0))/MAX(1,Servicios!$E$5),0)*MAX(1,Servicios!$E$5))</f>
        <v/>
      </c>
      <c r="J23" s="11" t="n"/>
      <c r="K23" s="19">
        <f>IF(OR(I23="",J23=""),"",J23-I23)</f>
        <v/>
      </c>
      <c r="L23" s="20">
        <f>IF(OR(I23="",J23="",I23=0),"",J23/I23-1)</f>
        <v/>
      </c>
      <c r="M23" s="5" t="n"/>
      <c r="N23" s="5" t="n"/>
      <c r="O23" s="25">
        <f>IF($D23="",0,IFERROR(MATCH($D23,Servicios!$A$9:$A$38,0),0))</f>
        <v/>
      </c>
      <c r="P23" s="25">
        <f>IF(OR(I23="",J23=""),"",IF(ABS(J23-I23)&lt;=0.05*I23,1,0))</f>
        <v/>
      </c>
    </row>
    <row r="24">
      <c r="A24" s="10" t="n"/>
      <c r="B24" s="5" t="n"/>
      <c r="C24" s="5" t="n"/>
      <c r="D24" s="5" t="n"/>
      <c r="E24" s="5" t="n"/>
      <c r="F24" s="5" t="n"/>
      <c r="G24" s="5" t="n"/>
      <c r="H24" s="5" t="n"/>
      <c r="I24" s="19">
        <f>IF($O24=0,"",ROUND((INDEX(Servicios!$C$9:$C$38,MAX(1,$O24))+IF(INDEX(Servicios!$D$9:$D$38,MAX(1,$O24))="Sí",SUMIFS(Ajustes!$D$5:$D$18,Ajustes!$A$5:$A$18,"Largo",Ajustes!$B$5:$B$18,""&amp;$E24),0)+IF(INDEX(Servicios!$E$9:$E$38,MAX(1,$O24))="Sí",SUMIFS(Ajustes!$D$5:$D$18,Ajustes!$A$5:$A$18,"Densidad",Ajustes!$B$5:$B$18,""&amp;$F24),0)+IF(INDEX(Servicios!$F$9:$F$38,MAX(1,$O24))="Sí",SUMIFS(Ajustes!$D$5:$D$18,Ajustes!$A$5:$A$18,"Estado de la fibra",Ajustes!$B$5:$B$18,""&amp;$G24),0)+IF(INDEX(Servicios!$G$9:$G$38,MAX(1,$O24))="Sí",SUMIFS(Ajustes!$D$5:$D$18,Ajustes!$A$5:$A$18,"Canas",Ajustes!$B$5:$B$18,""&amp;$H24),0))*(1+IF(INDEX(Servicios!$D$9:$D$38,MAX(1,$O24))="Sí",SUMIFS(Ajustes!$E$5:$E$18,Ajustes!$A$5:$A$18,"Largo",Ajustes!$B$5:$B$18,""&amp;$E24),0)+IF(INDEX(Servicios!$E$9:$E$38,MAX(1,$O24))="Sí",SUMIFS(Ajustes!$E$5:$E$18,Ajustes!$A$5:$A$18,"Densidad",Ajustes!$B$5:$B$18,""&amp;$F24),0)+IF(INDEX(Servicios!$F$9:$F$38,MAX(1,$O24))="Sí",SUMIFS(Ajustes!$E$5:$E$18,Ajustes!$A$5:$A$18,"Estado de la fibra",Ajustes!$B$5:$B$18,""&amp;$G24),0)+IF(INDEX(Servicios!$G$9:$G$38,MAX(1,$O24))="Sí",SUMIFS(Ajustes!$E$5:$E$18,Ajustes!$A$5:$A$18,"Canas",Ajustes!$B$5:$B$18,""&amp;$H24),0))/MAX(1,Servicios!$E$5),0)*MAX(1,Servicios!$E$5))</f>
        <v/>
      </c>
      <c r="J24" s="11" t="n"/>
      <c r="K24" s="19">
        <f>IF(OR(I24="",J24=""),"",J24-I24)</f>
        <v/>
      </c>
      <c r="L24" s="20">
        <f>IF(OR(I24="",J24="",I24=0),"",J24/I24-1)</f>
        <v/>
      </c>
      <c r="M24" s="5" t="n"/>
      <c r="N24" s="5" t="n"/>
      <c r="O24" s="25">
        <f>IF($D24="",0,IFERROR(MATCH($D24,Servicios!$A$9:$A$38,0),0))</f>
        <v/>
      </c>
      <c r="P24" s="25">
        <f>IF(OR(I24="",J24=""),"",IF(ABS(J24-I24)&lt;=0.05*I24,1,0))</f>
        <v/>
      </c>
    </row>
    <row r="25">
      <c r="A25" s="10" t="n"/>
      <c r="B25" s="5" t="n"/>
      <c r="C25" s="5" t="n"/>
      <c r="D25" s="5" t="n"/>
      <c r="E25" s="5" t="n"/>
      <c r="F25" s="5" t="n"/>
      <c r="G25" s="5" t="n"/>
      <c r="H25" s="5" t="n"/>
      <c r="I25" s="19">
        <f>IF($O25=0,"",ROUND((INDEX(Servicios!$C$9:$C$38,MAX(1,$O25))+IF(INDEX(Servicios!$D$9:$D$38,MAX(1,$O25))="Sí",SUMIFS(Ajustes!$D$5:$D$18,Ajustes!$A$5:$A$18,"Largo",Ajustes!$B$5:$B$18,""&amp;$E25),0)+IF(INDEX(Servicios!$E$9:$E$38,MAX(1,$O25))="Sí",SUMIFS(Ajustes!$D$5:$D$18,Ajustes!$A$5:$A$18,"Densidad",Ajustes!$B$5:$B$18,""&amp;$F25),0)+IF(INDEX(Servicios!$F$9:$F$38,MAX(1,$O25))="Sí",SUMIFS(Ajustes!$D$5:$D$18,Ajustes!$A$5:$A$18,"Estado de la fibra",Ajustes!$B$5:$B$18,""&amp;$G25),0)+IF(INDEX(Servicios!$G$9:$G$38,MAX(1,$O25))="Sí",SUMIFS(Ajustes!$D$5:$D$18,Ajustes!$A$5:$A$18,"Canas",Ajustes!$B$5:$B$18,""&amp;$H25),0))*(1+IF(INDEX(Servicios!$D$9:$D$38,MAX(1,$O25))="Sí",SUMIFS(Ajustes!$E$5:$E$18,Ajustes!$A$5:$A$18,"Largo",Ajustes!$B$5:$B$18,""&amp;$E25),0)+IF(INDEX(Servicios!$E$9:$E$38,MAX(1,$O25))="Sí",SUMIFS(Ajustes!$E$5:$E$18,Ajustes!$A$5:$A$18,"Densidad",Ajustes!$B$5:$B$18,""&amp;$F25),0)+IF(INDEX(Servicios!$F$9:$F$38,MAX(1,$O25))="Sí",SUMIFS(Ajustes!$E$5:$E$18,Ajustes!$A$5:$A$18,"Estado de la fibra",Ajustes!$B$5:$B$18,""&amp;$G25),0)+IF(INDEX(Servicios!$G$9:$G$38,MAX(1,$O25))="Sí",SUMIFS(Ajustes!$E$5:$E$18,Ajustes!$A$5:$A$18,"Canas",Ajustes!$B$5:$B$18,""&amp;$H25),0))/MAX(1,Servicios!$E$5),0)*MAX(1,Servicios!$E$5))</f>
        <v/>
      </c>
      <c r="J25" s="11" t="n"/>
      <c r="K25" s="19">
        <f>IF(OR(I25="",J25=""),"",J25-I25)</f>
        <v/>
      </c>
      <c r="L25" s="20">
        <f>IF(OR(I25="",J25="",I25=0),"",J25/I25-1)</f>
        <v/>
      </c>
      <c r="M25" s="5" t="n"/>
      <c r="N25" s="5" t="n"/>
      <c r="O25" s="25">
        <f>IF($D25="",0,IFERROR(MATCH($D25,Servicios!$A$9:$A$38,0),0))</f>
        <v/>
      </c>
      <c r="P25" s="25">
        <f>IF(OR(I25="",J25=""),"",IF(ABS(J25-I25)&lt;=0.05*I25,1,0))</f>
        <v/>
      </c>
    </row>
    <row r="26">
      <c r="A26" s="10" t="n"/>
      <c r="B26" s="5" t="n"/>
      <c r="C26" s="5" t="n"/>
      <c r="D26" s="5" t="n"/>
      <c r="E26" s="5" t="n"/>
      <c r="F26" s="5" t="n"/>
      <c r="G26" s="5" t="n"/>
      <c r="H26" s="5" t="n"/>
      <c r="I26" s="19">
        <f>IF($O26=0,"",ROUND((INDEX(Servicios!$C$9:$C$38,MAX(1,$O26))+IF(INDEX(Servicios!$D$9:$D$38,MAX(1,$O26))="Sí",SUMIFS(Ajustes!$D$5:$D$18,Ajustes!$A$5:$A$18,"Largo",Ajustes!$B$5:$B$18,""&amp;$E26),0)+IF(INDEX(Servicios!$E$9:$E$38,MAX(1,$O26))="Sí",SUMIFS(Ajustes!$D$5:$D$18,Ajustes!$A$5:$A$18,"Densidad",Ajustes!$B$5:$B$18,""&amp;$F26),0)+IF(INDEX(Servicios!$F$9:$F$38,MAX(1,$O26))="Sí",SUMIFS(Ajustes!$D$5:$D$18,Ajustes!$A$5:$A$18,"Estado de la fibra",Ajustes!$B$5:$B$18,""&amp;$G26),0)+IF(INDEX(Servicios!$G$9:$G$38,MAX(1,$O26))="Sí",SUMIFS(Ajustes!$D$5:$D$18,Ajustes!$A$5:$A$18,"Canas",Ajustes!$B$5:$B$18,""&amp;$H26),0))*(1+IF(INDEX(Servicios!$D$9:$D$38,MAX(1,$O26))="Sí",SUMIFS(Ajustes!$E$5:$E$18,Ajustes!$A$5:$A$18,"Largo",Ajustes!$B$5:$B$18,""&amp;$E26),0)+IF(INDEX(Servicios!$E$9:$E$38,MAX(1,$O26))="Sí",SUMIFS(Ajustes!$E$5:$E$18,Ajustes!$A$5:$A$18,"Densidad",Ajustes!$B$5:$B$18,""&amp;$F26),0)+IF(INDEX(Servicios!$F$9:$F$38,MAX(1,$O26))="Sí",SUMIFS(Ajustes!$E$5:$E$18,Ajustes!$A$5:$A$18,"Estado de la fibra",Ajustes!$B$5:$B$18,""&amp;$G26),0)+IF(INDEX(Servicios!$G$9:$G$38,MAX(1,$O26))="Sí",SUMIFS(Ajustes!$E$5:$E$18,Ajustes!$A$5:$A$18,"Canas",Ajustes!$B$5:$B$18,""&amp;$H26),0))/MAX(1,Servicios!$E$5),0)*MAX(1,Servicios!$E$5))</f>
        <v/>
      </c>
      <c r="J26" s="11" t="n"/>
      <c r="K26" s="19">
        <f>IF(OR(I26="",J26=""),"",J26-I26)</f>
        <v/>
      </c>
      <c r="L26" s="20">
        <f>IF(OR(I26="",J26="",I26=0),"",J26/I26-1)</f>
        <v/>
      </c>
      <c r="M26" s="5" t="n"/>
      <c r="N26" s="5" t="n"/>
      <c r="O26" s="25">
        <f>IF($D26="",0,IFERROR(MATCH($D26,Servicios!$A$9:$A$38,0),0))</f>
        <v/>
      </c>
      <c r="P26" s="25">
        <f>IF(OR(I26="",J26=""),"",IF(ABS(J26-I26)&lt;=0.05*I26,1,0))</f>
        <v/>
      </c>
    </row>
    <row r="27">
      <c r="A27" s="10" t="n"/>
      <c r="B27" s="5" t="n"/>
      <c r="C27" s="5" t="n"/>
      <c r="D27" s="5" t="n"/>
      <c r="E27" s="5" t="n"/>
      <c r="F27" s="5" t="n"/>
      <c r="G27" s="5" t="n"/>
      <c r="H27" s="5" t="n"/>
      <c r="I27" s="19">
        <f>IF($O27=0,"",ROUND((INDEX(Servicios!$C$9:$C$38,MAX(1,$O27))+IF(INDEX(Servicios!$D$9:$D$38,MAX(1,$O27))="Sí",SUMIFS(Ajustes!$D$5:$D$18,Ajustes!$A$5:$A$18,"Largo",Ajustes!$B$5:$B$18,""&amp;$E27),0)+IF(INDEX(Servicios!$E$9:$E$38,MAX(1,$O27))="Sí",SUMIFS(Ajustes!$D$5:$D$18,Ajustes!$A$5:$A$18,"Densidad",Ajustes!$B$5:$B$18,""&amp;$F27),0)+IF(INDEX(Servicios!$F$9:$F$38,MAX(1,$O27))="Sí",SUMIFS(Ajustes!$D$5:$D$18,Ajustes!$A$5:$A$18,"Estado de la fibra",Ajustes!$B$5:$B$18,""&amp;$G27),0)+IF(INDEX(Servicios!$G$9:$G$38,MAX(1,$O27))="Sí",SUMIFS(Ajustes!$D$5:$D$18,Ajustes!$A$5:$A$18,"Canas",Ajustes!$B$5:$B$18,""&amp;$H27),0))*(1+IF(INDEX(Servicios!$D$9:$D$38,MAX(1,$O27))="Sí",SUMIFS(Ajustes!$E$5:$E$18,Ajustes!$A$5:$A$18,"Largo",Ajustes!$B$5:$B$18,""&amp;$E27),0)+IF(INDEX(Servicios!$E$9:$E$38,MAX(1,$O27))="Sí",SUMIFS(Ajustes!$E$5:$E$18,Ajustes!$A$5:$A$18,"Densidad",Ajustes!$B$5:$B$18,""&amp;$F27),0)+IF(INDEX(Servicios!$F$9:$F$38,MAX(1,$O27))="Sí",SUMIFS(Ajustes!$E$5:$E$18,Ajustes!$A$5:$A$18,"Estado de la fibra",Ajustes!$B$5:$B$18,""&amp;$G27),0)+IF(INDEX(Servicios!$G$9:$G$38,MAX(1,$O27))="Sí",SUMIFS(Ajustes!$E$5:$E$18,Ajustes!$A$5:$A$18,"Canas",Ajustes!$B$5:$B$18,""&amp;$H27),0))/MAX(1,Servicios!$E$5),0)*MAX(1,Servicios!$E$5))</f>
        <v/>
      </c>
      <c r="J27" s="11" t="n"/>
      <c r="K27" s="19">
        <f>IF(OR(I27="",J27=""),"",J27-I27)</f>
        <v/>
      </c>
      <c r="L27" s="20">
        <f>IF(OR(I27="",J27="",I27=0),"",J27/I27-1)</f>
        <v/>
      </c>
      <c r="M27" s="5" t="n"/>
      <c r="N27" s="5" t="n"/>
      <c r="O27" s="25">
        <f>IF($D27="",0,IFERROR(MATCH($D27,Servicios!$A$9:$A$38,0),0))</f>
        <v/>
      </c>
      <c r="P27" s="25">
        <f>IF(OR(I27="",J27=""),"",IF(ABS(J27-I27)&lt;=0.05*I27,1,0))</f>
        <v/>
      </c>
    </row>
    <row r="28">
      <c r="A28" s="10" t="n"/>
      <c r="B28" s="5" t="n"/>
      <c r="C28" s="5" t="n"/>
      <c r="D28" s="5" t="n"/>
      <c r="E28" s="5" t="n"/>
      <c r="F28" s="5" t="n"/>
      <c r="G28" s="5" t="n"/>
      <c r="H28" s="5" t="n"/>
      <c r="I28" s="19">
        <f>IF($O28=0,"",ROUND((INDEX(Servicios!$C$9:$C$38,MAX(1,$O28))+IF(INDEX(Servicios!$D$9:$D$38,MAX(1,$O28))="Sí",SUMIFS(Ajustes!$D$5:$D$18,Ajustes!$A$5:$A$18,"Largo",Ajustes!$B$5:$B$18,""&amp;$E28),0)+IF(INDEX(Servicios!$E$9:$E$38,MAX(1,$O28))="Sí",SUMIFS(Ajustes!$D$5:$D$18,Ajustes!$A$5:$A$18,"Densidad",Ajustes!$B$5:$B$18,""&amp;$F28),0)+IF(INDEX(Servicios!$F$9:$F$38,MAX(1,$O28))="Sí",SUMIFS(Ajustes!$D$5:$D$18,Ajustes!$A$5:$A$18,"Estado de la fibra",Ajustes!$B$5:$B$18,""&amp;$G28),0)+IF(INDEX(Servicios!$G$9:$G$38,MAX(1,$O28))="Sí",SUMIFS(Ajustes!$D$5:$D$18,Ajustes!$A$5:$A$18,"Canas",Ajustes!$B$5:$B$18,""&amp;$H28),0))*(1+IF(INDEX(Servicios!$D$9:$D$38,MAX(1,$O28))="Sí",SUMIFS(Ajustes!$E$5:$E$18,Ajustes!$A$5:$A$18,"Largo",Ajustes!$B$5:$B$18,""&amp;$E28),0)+IF(INDEX(Servicios!$E$9:$E$38,MAX(1,$O28))="Sí",SUMIFS(Ajustes!$E$5:$E$18,Ajustes!$A$5:$A$18,"Densidad",Ajustes!$B$5:$B$18,""&amp;$F28),0)+IF(INDEX(Servicios!$F$9:$F$38,MAX(1,$O28))="Sí",SUMIFS(Ajustes!$E$5:$E$18,Ajustes!$A$5:$A$18,"Estado de la fibra",Ajustes!$B$5:$B$18,""&amp;$G28),0)+IF(INDEX(Servicios!$G$9:$G$38,MAX(1,$O28))="Sí",SUMIFS(Ajustes!$E$5:$E$18,Ajustes!$A$5:$A$18,"Canas",Ajustes!$B$5:$B$18,""&amp;$H28),0))/MAX(1,Servicios!$E$5),0)*MAX(1,Servicios!$E$5))</f>
        <v/>
      </c>
      <c r="J28" s="11" t="n"/>
      <c r="K28" s="19">
        <f>IF(OR(I28="",J28=""),"",J28-I28)</f>
        <v/>
      </c>
      <c r="L28" s="20">
        <f>IF(OR(I28="",J28="",I28=0),"",J28/I28-1)</f>
        <v/>
      </c>
      <c r="M28" s="5" t="n"/>
      <c r="N28" s="5" t="n"/>
      <c r="O28" s="25">
        <f>IF($D28="",0,IFERROR(MATCH($D28,Servicios!$A$9:$A$38,0),0))</f>
        <v/>
      </c>
      <c r="P28" s="25">
        <f>IF(OR(I28="",J28=""),"",IF(ABS(J28-I28)&lt;=0.05*I28,1,0))</f>
        <v/>
      </c>
    </row>
    <row r="29">
      <c r="A29" s="10" t="n"/>
      <c r="B29" s="5" t="n"/>
      <c r="C29" s="5" t="n"/>
      <c r="D29" s="5" t="n"/>
      <c r="E29" s="5" t="n"/>
      <c r="F29" s="5" t="n"/>
      <c r="G29" s="5" t="n"/>
      <c r="H29" s="5" t="n"/>
      <c r="I29" s="19">
        <f>IF($O29=0,"",ROUND((INDEX(Servicios!$C$9:$C$38,MAX(1,$O29))+IF(INDEX(Servicios!$D$9:$D$38,MAX(1,$O29))="Sí",SUMIFS(Ajustes!$D$5:$D$18,Ajustes!$A$5:$A$18,"Largo",Ajustes!$B$5:$B$18,""&amp;$E29),0)+IF(INDEX(Servicios!$E$9:$E$38,MAX(1,$O29))="Sí",SUMIFS(Ajustes!$D$5:$D$18,Ajustes!$A$5:$A$18,"Densidad",Ajustes!$B$5:$B$18,""&amp;$F29),0)+IF(INDEX(Servicios!$F$9:$F$38,MAX(1,$O29))="Sí",SUMIFS(Ajustes!$D$5:$D$18,Ajustes!$A$5:$A$18,"Estado de la fibra",Ajustes!$B$5:$B$18,""&amp;$G29),0)+IF(INDEX(Servicios!$G$9:$G$38,MAX(1,$O29))="Sí",SUMIFS(Ajustes!$D$5:$D$18,Ajustes!$A$5:$A$18,"Canas",Ajustes!$B$5:$B$18,""&amp;$H29),0))*(1+IF(INDEX(Servicios!$D$9:$D$38,MAX(1,$O29))="Sí",SUMIFS(Ajustes!$E$5:$E$18,Ajustes!$A$5:$A$18,"Largo",Ajustes!$B$5:$B$18,""&amp;$E29),0)+IF(INDEX(Servicios!$E$9:$E$38,MAX(1,$O29))="Sí",SUMIFS(Ajustes!$E$5:$E$18,Ajustes!$A$5:$A$18,"Densidad",Ajustes!$B$5:$B$18,""&amp;$F29),0)+IF(INDEX(Servicios!$F$9:$F$38,MAX(1,$O29))="Sí",SUMIFS(Ajustes!$E$5:$E$18,Ajustes!$A$5:$A$18,"Estado de la fibra",Ajustes!$B$5:$B$18,""&amp;$G29),0)+IF(INDEX(Servicios!$G$9:$G$38,MAX(1,$O29))="Sí",SUMIFS(Ajustes!$E$5:$E$18,Ajustes!$A$5:$A$18,"Canas",Ajustes!$B$5:$B$18,""&amp;$H29),0))/MAX(1,Servicios!$E$5),0)*MAX(1,Servicios!$E$5))</f>
        <v/>
      </c>
      <c r="J29" s="11" t="n"/>
      <c r="K29" s="19">
        <f>IF(OR(I29="",J29=""),"",J29-I29)</f>
        <v/>
      </c>
      <c r="L29" s="20">
        <f>IF(OR(I29="",J29="",I29=0),"",J29/I29-1)</f>
        <v/>
      </c>
      <c r="M29" s="5" t="n"/>
      <c r="N29" s="5" t="n"/>
      <c r="O29" s="25">
        <f>IF($D29="",0,IFERROR(MATCH($D29,Servicios!$A$9:$A$38,0),0))</f>
        <v/>
      </c>
      <c r="P29" s="25">
        <f>IF(OR(I29="",J29=""),"",IF(ABS(J29-I29)&lt;=0.05*I29,1,0))</f>
        <v/>
      </c>
    </row>
    <row r="30">
      <c r="A30" s="10" t="n"/>
      <c r="B30" s="5" t="n"/>
      <c r="C30" s="5" t="n"/>
      <c r="D30" s="5" t="n"/>
      <c r="E30" s="5" t="n"/>
      <c r="F30" s="5" t="n"/>
      <c r="G30" s="5" t="n"/>
      <c r="H30" s="5" t="n"/>
      <c r="I30" s="19">
        <f>IF($O30=0,"",ROUND((INDEX(Servicios!$C$9:$C$38,MAX(1,$O30))+IF(INDEX(Servicios!$D$9:$D$38,MAX(1,$O30))="Sí",SUMIFS(Ajustes!$D$5:$D$18,Ajustes!$A$5:$A$18,"Largo",Ajustes!$B$5:$B$18,""&amp;$E30),0)+IF(INDEX(Servicios!$E$9:$E$38,MAX(1,$O30))="Sí",SUMIFS(Ajustes!$D$5:$D$18,Ajustes!$A$5:$A$18,"Densidad",Ajustes!$B$5:$B$18,""&amp;$F30),0)+IF(INDEX(Servicios!$F$9:$F$38,MAX(1,$O30))="Sí",SUMIFS(Ajustes!$D$5:$D$18,Ajustes!$A$5:$A$18,"Estado de la fibra",Ajustes!$B$5:$B$18,""&amp;$G30),0)+IF(INDEX(Servicios!$G$9:$G$38,MAX(1,$O30))="Sí",SUMIFS(Ajustes!$D$5:$D$18,Ajustes!$A$5:$A$18,"Canas",Ajustes!$B$5:$B$18,""&amp;$H30),0))*(1+IF(INDEX(Servicios!$D$9:$D$38,MAX(1,$O30))="Sí",SUMIFS(Ajustes!$E$5:$E$18,Ajustes!$A$5:$A$18,"Largo",Ajustes!$B$5:$B$18,""&amp;$E30),0)+IF(INDEX(Servicios!$E$9:$E$38,MAX(1,$O30))="Sí",SUMIFS(Ajustes!$E$5:$E$18,Ajustes!$A$5:$A$18,"Densidad",Ajustes!$B$5:$B$18,""&amp;$F30),0)+IF(INDEX(Servicios!$F$9:$F$38,MAX(1,$O30))="Sí",SUMIFS(Ajustes!$E$5:$E$18,Ajustes!$A$5:$A$18,"Estado de la fibra",Ajustes!$B$5:$B$18,""&amp;$G30),0)+IF(INDEX(Servicios!$G$9:$G$38,MAX(1,$O30))="Sí",SUMIFS(Ajustes!$E$5:$E$18,Ajustes!$A$5:$A$18,"Canas",Ajustes!$B$5:$B$18,""&amp;$H30),0))/MAX(1,Servicios!$E$5),0)*MAX(1,Servicios!$E$5))</f>
        <v/>
      </c>
      <c r="J30" s="11" t="n"/>
      <c r="K30" s="19">
        <f>IF(OR(I30="",J30=""),"",J30-I30)</f>
        <v/>
      </c>
      <c r="L30" s="20">
        <f>IF(OR(I30="",J30="",I30=0),"",J30/I30-1)</f>
        <v/>
      </c>
      <c r="M30" s="5" t="n"/>
      <c r="N30" s="5" t="n"/>
      <c r="O30" s="25">
        <f>IF($D30="",0,IFERROR(MATCH($D30,Servicios!$A$9:$A$38,0),0))</f>
        <v/>
      </c>
      <c r="P30" s="25">
        <f>IF(OR(I30="",J30=""),"",IF(ABS(J30-I30)&lt;=0.05*I30,1,0))</f>
        <v/>
      </c>
    </row>
    <row r="31">
      <c r="A31" s="10" t="n"/>
      <c r="B31" s="5" t="n"/>
      <c r="C31" s="5" t="n"/>
      <c r="D31" s="5" t="n"/>
      <c r="E31" s="5" t="n"/>
      <c r="F31" s="5" t="n"/>
      <c r="G31" s="5" t="n"/>
      <c r="H31" s="5" t="n"/>
      <c r="I31" s="19">
        <f>IF($O31=0,"",ROUND((INDEX(Servicios!$C$9:$C$38,MAX(1,$O31))+IF(INDEX(Servicios!$D$9:$D$38,MAX(1,$O31))="Sí",SUMIFS(Ajustes!$D$5:$D$18,Ajustes!$A$5:$A$18,"Largo",Ajustes!$B$5:$B$18,""&amp;$E31),0)+IF(INDEX(Servicios!$E$9:$E$38,MAX(1,$O31))="Sí",SUMIFS(Ajustes!$D$5:$D$18,Ajustes!$A$5:$A$18,"Densidad",Ajustes!$B$5:$B$18,""&amp;$F31),0)+IF(INDEX(Servicios!$F$9:$F$38,MAX(1,$O31))="Sí",SUMIFS(Ajustes!$D$5:$D$18,Ajustes!$A$5:$A$18,"Estado de la fibra",Ajustes!$B$5:$B$18,""&amp;$G31),0)+IF(INDEX(Servicios!$G$9:$G$38,MAX(1,$O31))="Sí",SUMIFS(Ajustes!$D$5:$D$18,Ajustes!$A$5:$A$18,"Canas",Ajustes!$B$5:$B$18,""&amp;$H31),0))*(1+IF(INDEX(Servicios!$D$9:$D$38,MAX(1,$O31))="Sí",SUMIFS(Ajustes!$E$5:$E$18,Ajustes!$A$5:$A$18,"Largo",Ajustes!$B$5:$B$18,""&amp;$E31),0)+IF(INDEX(Servicios!$E$9:$E$38,MAX(1,$O31))="Sí",SUMIFS(Ajustes!$E$5:$E$18,Ajustes!$A$5:$A$18,"Densidad",Ajustes!$B$5:$B$18,""&amp;$F31),0)+IF(INDEX(Servicios!$F$9:$F$38,MAX(1,$O31))="Sí",SUMIFS(Ajustes!$E$5:$E$18,Ajustes!$A$5:$A$18,"Estado de la fibra",Ajustes!$B$5:$B$18,""&amp;$G31),0)+IF(INDEX(Servicios!$G$9:$G$38,MAX(1,$O31))="Sí",SUMIFS(Ajustes!$E$5:$E$18,Ajustes!$A$5:$A$18,"Canas",Ajustes!$B$5:$B$18,""&amp;$H31),0))/MAX(1,Servicios!$E$5),0)*MAX(1,Servicios!$E$5))</f>
        <v/>
      </c>
      <c r="J31" s="11" t="n"/>
      <c r="K31" s="19">
        <f>IF(OR(I31="",J31=""),"",J31-I31)</f>
        <v/>
      </c>
      <c r="L31" s="20">
        <f>IF(OR(I31="",J31="",I31=0),"",J31/I31-1)</f>
        <v/>
      </c>
      <c r="M31" s="5" t="n"/>
      <c r="N31" s="5" t="n"/>
      <c r="O31" s="25">
        <f>IF($D31="",0,IFERROR(MATCH($D31,Servicios!$A$9:$A$38,0),0))</f>
        <v/>
      </c>
      <c r="P31" s="25">
        <f>IF(OR(I31="",J31=""),"",IF(ABS(J31-I31)&lt;=0.05*I31,1,0))</f>
        <v/>
      </c>
    </row>
    <row r="32">
      <c r="A32" s="10" t="n"/>
      <c r="B32" s="5" t="n"/>
      <c r="C32" s="5" t="n"/>
      <c r="D32" s="5" t="n"/>
      <c r="E32" s="5" t="n"/>
      <c r="F32" s="5" t="n"/>
      <c r="G32" s="5" t="n"/>
      <c r="H32" s="5" t="n"/>
      <c r="I32" s="19">
        <f>IF($O32=0,"",ROUND((INDEX(Servicios!$C$9:$C$38,MAX(1,$O32))+IF(INDEX(Servicios!$D$9:$D$38,MAX(1,$O32))="Sí",SUMIFS(Ajustes!$D$5:$D$18,Ajustes!$A$5:$A$18,"Largo",Ajustes!$B$5:$B$18,""&amp;$E32),0)+IF(INDEX(Servicios!$E$9:$E$38,MAX(1,$O32))="Sí",SUMIFS(Ajustes!$D$5:$D$18,Ajustes!$A$5:$A$18,"Densidad",Ajustes!$B$5:$B$18,""&amp;$F32),0)+IF(INDEX(Servicios!$F$9:$F$38,MAX(1,$O32))="Sí",SUMIFS(Ajustes!$D$5:$D$18,Ajustes!$A$5:$A$18,"Estado de la fibra",Ajustes!$B$5:$B$18,""&amp;$G32),0)+IF(INDEX(Servicios!$G$9:$G$38,MAX(1,$O32))="Sí",SUMIFS(Ajustes!$D$5:$D$18,Ajustes!$A$5:$A$18,"Canas",Ajustes!$B$5:$B$18,""&amp;$H32),0))*(1+IF(INDEX(Servicios!$D$9:$D$38,MAX(1,$O32))="Sí",SUMIFS(Ajustes!$E$5:$E$18,Ajustes!$A$5:$A$18,"Largo",Ajustes!$B$5:$B$18,""&amp;$E32),0)+IF(INDEX(Servicios!$E$9:$E$38,MAX(1,$O32))="Sí",SUMIFS(Ajustes!$E$5:$E$18,Ajustes!$A$5:$A$18,"Densidad",Ajustes!$B$5:$B$18,""&amp;$F32),0)+IF(INDEX(Servicios!$F$9:$F$38,MAX(1,$O32))="Sí",SUMIFS(Ajustes!$E$5:$E$18,Ajustes!$A$5:$A$18,"Estado de la fibra",Ajustes!$B$5:$B$18,""&amp;$G32),0)+IF(INDEX(Servicios!$G$9:$G$38,MAX(1,$O32))="Sí",SUMIFS(Ajustes!$E$5:$E$18,Ajustes!$A$5:$A$18,"Canas",Ajustes!$B$5:$B$18,""&amp;$H32),0))/MAX(1,Servicios!$E$5),0)*MAX(1,Servicios!$E$5))</f>
        <v/>
      </c>
      <c r="J32" s="11" t="n"/>
      <c r="K32" s="19">
        <f>IF(OR(I32="",J32=""),"",J32-I32)</f>
        <v/>
      </c>
      <c r="L32" s="20">
        <f>IF(OR(I32="",J32="",I32=0),"",J32/I32-1)</f>
        <v/>
      </c>
      <c r="M32" s="5" t="n"/>
      <c r="N32" s="5" t="n"/>
      <c r="O32" s="25">
        <f>IF($D32="",0,IFERROR(MATCH($D32,Servicios!$A$9:$A$38,0),0))</f>
        <v/>
      </c>
      <c r="P32" s="25">
        <f>IF(OR(I32="",J32=""),"",IF(ABS(J32-I32)&lt;=0.05*I32,1,0))</f>
        <v/>
      </c>
    </row>
    <row r="33">
      <c r="A33" s="10" t="n"/>
      <c r="B33" s="5" t="n"/>
      <c r="C33" s="5" t="n"/>
      <c r="D33" s="5" t="n"/>
      <c r="E33" s="5" t="n"/>
      <c r="F33" s="5" t="n"/>
      <c r="G33" s="5" t="n"/>
      <c r="H33" s="5" t="n"/>
      <c r="I33" s="19">
        <f>IF($O33=0,"",ROUND((INDEX(Servicios!$C$9:$C$38,MAX(1,$O33))+IF(INDEX(Servicios!$D$9:$D$38,MAX(1,$O33))="Sí",SUMIFS(Ajustes!$D$5:$D$18,Ajustes!$A$5:$A$18,"Largo",Ajustes!$B$5:$B$18,""&amp;$E33),0)+IF(INDEX(Servicios!$E$9:$E$38,MAX(1,$O33))="Sí",SUMIFS(Ajustes!$D$5:$D$18,Ajustes!$A$5:$A$18,"Densidad",Ajustes!$B$5:$B$18,""&amp;$F33),0)+IF(INDEX(Servicios!$F$9:$F$38,MAX(1,$O33))="Sí",SUMIFS(Ajustes!$D$5:$D$18,Ajustes!$A$5:$A$18,"Estado de la fibra",Ajustes!$B$5:$B$18,""&amp;$G33),0)+IF(INDEX(Servicios!$G$9:$G$38,MAX(1,$O33))="Sí",SUMIFS(Ajustes!$D$5:$D$18,Ajustes!$A$5:$A$18,"Canas",Ajustes!$B$5:$B$18,""&amp;$H33),0))*(1+IF(INDEX(Servicios!$D$9:$D$38,MAX(1,$O33))="Sí",SUMIFS(Ajustes!$E$5:$E$18,Ajustes!$A$5:$A$18,"Largo",Ajustes!$B$5:$B$18,""&amp;$E33),0)+IF(INDEX(Servicios!$E$9:$E$38,MAX(1,$O33))="Sí",SUMIFS(Ajustes!$E$5:$E$18,Ajustes!$A$5:$A$18,"Densidad",Ajustes!$B$5:$B$18,""&amp;$F33),0)+IF(INDEX(Servicios!$F$9:$F$38,MAX(1,$O33))="Sí",SUMIFS(Ajustes!$E$5:$E$18,Ajustes!$A$5:$A$18,"Estado de la fibra",Ajustes!$B$5:$B$18,""&amp;$G33),0)+IF(INDEX(Servicios!$G$9:$G$38,MAX(1,$O33))="Sí",SUMIFS(Ajustes!$E$5:$E$18,Ajustes!$A$5:$A$18,"Canas",Ajustes!$B$5:$B$18,""&amp;$H33),0))/MAX(1,Servicios!$E$5),0)*MAX(1,Servicios!$E$5))</f>
        <v/>
      </c>
      <c r="J33" s="11" t="n"/>
      <c r="K33" s="19">
        <f>IF(OR(I33="",J33=""),"",J33-I33)</f>
        <v/>
      </c>
      <c r="L33" s="20">
        <f>IF(OR(I33="",J33="",I33=0),"",J33/I33-1)</f>
        <v/>
      </c>
      <c r="M33" s="5" t="n"/>
      <c r="N33" s="5" t="n"/>
      <c r="O33" s="25">
        <f>IF($D33="",0,IFERROR(MATCH($D33,Servicios!$A$9:$A$38,0),0))</f>
        <v/>
      </c>
      <c r="P33" s="25">
        <f>IF(OR(I33="",J33=""),"",IF(ABS(J33-I33)&lt;=0.05*I33,1,0))</f>
        <v/>
      </c>
    </row>
    <row r="34">
      <c r="A34" s="10" t="n"/>
      <c r="B34" s="5" t="n"/>
      <c r="C34" s="5" t="n"/>
      <c r="D34" s="5" t="n"/>
      <c r="E34" s="5" t="n"/>
      <c r="F34" s="5" t="n"/>
      <c r="G34" s="5" t="n"/>
      <c r="H34" s="5" t="n"/>
      <c r="I34" s="19">
        <f>IF($O34=0,"",ROUND((INDEX(Servicios!$C$9:$C$38,MAX(1,$O34))+IF(INDEX(Servicios!$D$9:$D$38,MAX(1,$O34))="Sí",SUMIFS(Ajustes!$D$5:$D$18,Ajustes!$A$5:$A$18,"Largo",Ajustes!$B$5:$B$18,""&amp;$E34),0)+IF(INDEX(Servicios!$E$9:$E$38,MAX(1,$O34))="Sí",SUMIFS(Ajustes!$D$5:$D$18,Ajustes!$A$5:$A$18,"Densidad",Ajustes!$B$5:$B$18,""&amp;$F34),0)+IF(INDEX(Servicios!$F$9:$F$38,MAX(1,$O34))="Sí",SUMIFS(Ajustes!$D$5:$D$18,Ajustes!$A$5:$A$18,"Estado de la fibra",Ajustes!$B$5:$B$18,""&amp;$G34),0)+IF(INDEX(Servicios!$G$9:$G$38,MAX(1,$O34))="Sí",SUMIFS(Ajustes!$D$5:$D$18,Ajustes!$A$5:$A$18,"Canas",Ajustes!$B$5:$B$18,""&amp;$H34),0))*(1+IF(INDEX(Servicios!$D$9:$D$38,MAX(1,$O34))="Sí",SUMIFS(Ajustes!$E$5:$E$18,Ajustes!$A$5:$A$18,"Largo",Ajustes!$B$5:$B$18,""&amp;$E34),0)+IF(INDEX(Servicios!$E$9:$E$38,MAX(1,$O34))="Sí",SUMIFS(Ajustes!$E$5:$E$18,Ajustes!$A$5:$A$18,"Densidad",Ajustes!$B$5:$B$18,""&amp;$F34),0)+IF(INDEX(Servicios!$F$9:$F$38,MAX(1,$O34))="Sí",SUMIFS(Ajustes!$E$5:$E$18,Ajustes!$A$5:$A$18,"Estado de la fibra",Ajustes!$B$5:$B$18,""&amp;$G34),0)+IF(INDEX(Servicios!$G$9:$G$38,MAX(1,$O34))="Sí",SUMIFS(Ajustes!$E$5:$E$18,Ajustes!$A$5:$A$18,"Canas",Ajustes!$B$5:$B$18,""&amp;$H34),0))/MAX(1,Servicios!$E$5),0)*MAX(1,Servicios!$E$5))</f>
        <v/>
      </c>
      <c r="J34" s="11" t="n"/>
      <c r="K34" s="19">
        <f>IF(OR(I34="",J34=""),"",J34-I34)</f>
        <v/>
      </c>
      <c r="L34" s="20">
        <f>IF(OR(I34="",J34="",I34=0),"",J34/I34-1)</f>
        <v/>
      </c>
      <c r="M34" s="5" t="n"/>
      <c r="N34" s="5" t="n"/>
      <c r="O34" s="25">
        <f>IF($D34="",0,IFERROR(MATCH($D34,Servicios!$A$9:$A$38,0),0))</f>
        <v/>
      </c>
      <c r="P34" s="25">
        <f>IF(OR(I34="",J34=""),"",IF(ABS(J34-I34)&lt;=0.05*I34,1,0))</f>
        <v/>
      </c>
    </row>
    <row r="35">
      <c r="A35" s="10" t="n"/>
      <c r="B35" s="5" t="n"/>
      <c r="C35" s="5" t="n"/>
      <c r="D35" s="5" t="n"/>
      <c r="E35" s="5" t="n"/>
      <c r="F35" s="5" t="n"/>
      <c r="G35" s="5" t="n"/>
      <c r="H35" s="5" t="n"/>
      <c r="I35" s="19">
        <f>IF($O35=0,"",ROUND((INDEX(Servicios!$C$9:$C$38,MAX(1,$O35))+IF(INDEX(Servicios!$D$9:$D$38,MAX(1,$O35))="Sí",SUMIFS(Ajustes!$D$5:$D$18,Ajustes!$A$5:$A$18,"Largo",Ajustes!$B$5:$B$18,""&amp;$E35),0)+IF(INDEX(Servicios!$E$9:$E$38,MAX(1,$O35))="Sí",SUMIFS(Ajustes!$D$5:$D$18,Ajustes!$A$5:$A$18,"Densidad",Ajustes!$B$5:$B$18,""&amp;$F35),0)+IF(INDEX(Servicios!$F$9:$F$38,MAX(1,$O35))="Sí",SUMIFS(Ajustes!$D$5:$D$18,Ajustes!$A$5:$A$18,"Estado de la fibra",Ajustes!$B$5:$B$18,""&amp;$G35),0)+IF(INDEX(Servicios!$G$9:$G$38,MAX(1,$O35))="Sí",SUMIFS(Ajustes!$D$5:$D$18,Ajustes!$A$5:$A$18,"Canas",Ajustes!$B$5:$B$18,""&amp;$H35),0))*(1+IF(INDEX(Servicios!$D$9:$D$38,MAX(1,$O35))="Sí",SUMIFS(Ajustes!$E$5:$E$18,Ajustes!$A$5:$A$18,"Largo",Ajustes!$B$5:$B$18,""&amp;$E35),0)+IF(INDEX(Servicios!$E$9:$E$38,MAX(1,$O35))="Sí",SUMIFS(Ajustes!$E$5:$E$18,Ajustes!$A$5:$A$18,"Densidad",Ajustes!$B$5:$B$18,""&amp;$F35),0)+IF(INDEX(Servicios!$F$9:$F$38,MAX(1,$O35))="Sí",SUMIFS(Ajustes!$E$5:$E$18,Ajustes!$A$5:$A$18,"Estado de la fibra",Ajustes!$B$5:$B$18,""&amp;$G35),0)+IF(INDEX(Servicios!$G$9:$G$38,MAX(1,$O35))="Sí",SUMIFS(Ajustes!$E$5:$E$18,Ajustes!$A$5:$A$18,"Canas",Ajustes!$B$5:$B$18,""&amp;$H35),0))/MAX(1,Servicios!$E$5),0)*MAX(1,Servicios!$E$5))</f>
        <v/>
      </c>
      <c r="J35" s="11" t="n"/>
      <c r="K35" s="19">
        <f>IF(OR(I35="",J35=""),"",J35-I35)</f>
        <v/>
      </c>
      <c r="L35" s="20">
        <f>IF(OR(I35="",J35="",I35=0),"",J35/I35-1)</f>
        <v/>
      </c>
      <c r="M35" s="5" t="n"/>
      <c r="N35" s="5" t="n"/>
      <c r="O35" s="25">
        <f>IF($D35="",0,IFERROR(MATCH($D35,Servicios!$A$9:$A$38,0),0))</f>
        <v/>
      </c>
      <c r="P35" s="25">
        <f>IF(OR(I35="",J35=""),"",IF(ABS(J35-I35)&lt;=0.05*I35,1,0))</f>
        <v/>
      </c>
    </row>
    <row r="36">
      <c r="A36" s="10" t="n"/>
      <c r="B36" s="5" t="n"/>
      <c r="C36" s="5" t="n"/>
      <c r="D36" s="5" t="n"/>
      <c r="E36" s="5" t="n"/>
      <c r="F36" s="5" t="n"/>
      <c r="G36" s="5" t="n"/>
      <c r="H36" s="5" t="n"/>
      <c r="I36" s="19">
        <f>IF($O36=0,"",ROUND((INDEX(Servicios!$C$9:$C$38,MAX(1,$O36))+IF(INDEX(Servicios!$D$9:$D$38,MAX(1,$O36))="Sí",SUMIFS(Ajustes!$D$5:$D$18,Ajustes!$A$5:$A$18,"Largo",Ajustes!$B$5:$B$18,""&amp;$E36),0)+IF(INDEX(Servicios!$E$9:$E$38,MAX(1,$O36))="Sí",SUMIFS(Ajustes!$D$5:$D$18,Ajustes!$A$5:$A$18,"Densidad",Ajustes!$B$5:$B$18,""&amp;$F36),0)+IF(INDEX(Servicios!$F$9:$F$38,MAX(1,$O36))="Sí",SUMIFS(Ajustes!$D$5:$D$18,Ajustes!$A$5:$A$18,"Estado de la fibra",Ajustes!$B$5:$B$18,""&amp;$G36),0)+IF(INDEX(Servicios!$G$9:$G$38,MAX(1,$O36))="Sí",SUMIFS(Ajustes!$D$5:$D$18,Ajustes!$A$5:$A$18,"Canas",Ajustes!$B$5:$B$18,""&amp;$H36),0))*(1+IF(INDEX(Servicios!$D$9:$D$38,MAX(1,$O36))="Sí",SUMIFS(Ajustes!$E$5:$E$18,Ajustes!$A$5:$A$18,"Largo",Ajustes!$B$5:$B$18,""&amp;$E36),0)+IF(INDEX(Servicios!$E$9:$E$38,MAX(1,$O36))="Sí",SUMIFS(Ajustes!$E$5:$E$18,Ajustes!$A$5:$A$18,"Densidad",Ajustes!$B$5:$B$18,""&amp;$F36),0)+IF(INDEX(Servicios!$F$9:$F$38,MAX(1,$O36))="Sí",SUMIFS(Ajustes!$E$5:$E$18,Ajustes!$A$5:$A$18,"Estado de la fibra",Ajustes!$B$5:$B$18,""&amp;$G36),0)+IF(INDEX(Servicios!$G$9:$G$38,MAX(1,$O36))="Sí",SUMIFS(Ajustes!$E$5:$E$18,Ajustes!$A$5:$A$18,"Canas",Ajustes!$B$5:$B$18,""&amp;$H36),0))/MAX(1,Servicios!$E$5),0)*MAX(1,Servicios!$E$5))</f>
        <v/>
      </c>
      <c r="J36" s="11" t="n"/>
      <c r="K36" s="19">
        <f>IF(OR(I36="",J36=""),"",J36-I36)</f>
        <v/>
      </c>
      <c r="L36" s="20">
        <f>IF(OR(I36="",J36="",I36=0),"",J36/I36-1)</f>
        <v/>
      </c>
      <c r="M36" s="5" t="n"/>
      <c r="N36" s="5" t="n"/>
      <c r="O36" s="25">
        <f>IF($D36="",0,IFERROR(MATCH($D36,Servicios!$A$9:$A$38,0),0))</f>
        <v/>
      </c>
      <c r="P36" s="25">
        <f>IF(OR(I36="",J36=""),"",IF(ABS(J36-I36)&lt;=0.05*I36,1,0))</f>
        <v/>
      </c>
    </row>
    <row r="37">
      <c r="A37" s="10" t="n"/>
      <c r="B37" s="5" t="n"/>
      <c r="C37" s="5" t="n"/>
      <c r="D37" s="5" t="n"/>
      <c r="E37" s="5" t="n"/>
      <c r="F37" s="5" t="n"/>
      <c r="G37" s="5" t="n"/>
      <c r="H37" s="5" t="n"/>
      <c r="I37" s="19">
        <f>IF($O37=0,"",ROUND((INDEX(Servicios!$C$9:$C$38,MAX(1,$O37))+IF(INDEX(Servicios!$D$9:$D$38,MAX(1,$O37))="Sí",SUMIFS(Ajustes!$D$5:$D$18,Ajustes!$A$5:$A$18,"Largo",Ajustes!$B$5:$B$18,""&amp;$E37),0)+IF(INDEX(Servicios!$E$9:$E$38,MAX(1,$O37))="Sí",SUMIFS(Ajustes!$D$5:$D$18,Ajustes!$A$5:$A$18,"Densidad",Ajustes!$B$5:$B$18,""&amp;$F37),0)+IF(INDEX(Servicios!$F$9:$F$38,MAX(1,$O37))="Sí",SUMIFS(Ajustes!$D$5:$D$18,Ajustes!$A$5:$A$18,"Estado de la fibra",Ajustes!$B$5:$B$18,""&amp;$G37),0)+IF(INDEX(Servicios!$G$9:$G$38,MAX(1,$O37))="Sí",SUMIFS(Ajustes!$D$5:$D$18,Ajustes!$A$5:$A$18,"Canas",Ajustes!$B$5:$B$18,""&amp;$H37),0))*(1+IF(INDEX(Servicios!$D$9:$D$38,MAX(1,$O37))="Sí",SUMIFS(Ajustes!$E$5:$E$18,Ajustes!$A$5:$A$18,"Largo",Ajustes!$B$5:$B$18,""&amp;$E37),0)+IF(INDEX(Servicios!$E$9:$E$38,MAX(1,$O37))="Sí",SUMIFS(Ajustes!$E$5:$E$18,Ajustes!$A$5:$A$18,"Densidad",Ajustes!$B$5:$B$18,""&amp;$F37),0)+IF(INDEX(Servicios!$F$9:$F$38,MAX(1,$O37))="Sí",SUMIFS(Ajustes!$E$5:$E$18,Ajustes!$A$5:$A$18,"Estado de la fibra",Ajustes!$B$5:$B$18,""&amp;$G37),0)+IF(INDEX(Servicios!$G$9:$G$38,MAX(1,$O37))="Sí",SUMIFS(Ajustes!$E$5:$E$18,Ajustes!$A$5:$A$18,"Canas",Ajustes!$B$5:$B$18,""&amp;$H37),0))/MAX(1,Servicios!$E$5),0)*MAX(1,Servicios!$E$5))</f>
        <v/>
      </c>
      <c r="J37" s="11" t="n"/>
      <c r="K37" s="19">
        <f>IF(OR(I37="",J37=""),"",J37-I37)</f>
        <v/>
      </c>
      <c r="L37" s="20">
        <f>IF(OR(I37="",J37="",I37=0),"",J37/I37-1)</f>
        <v/>
      </c>
      <c r="M37" s="5" t="n"/>
      <c r="N37" s="5" t="n"/>
      <c r="O37" s="25">
        <f>IF($D37="",0,IFERROR(MATCH($D37,Servicios!$A$9:$A$38,0),0))</f>
        <v/>
      </c>
      <c r="P37" s="25">
        <f>IF(OR(I37="",J37=""),"",IF(ABS(J37-I37)&lt;=0.05*I37,1,0))</f>
        <v/>
      </c>
    </row>
    <row r="38">
      <c r="A38" s="10" t="n"/>
      <c r="B38" s="5" t="n"/>
      <c r="C38" s="5" t="n"/>
      <c r="D38" s="5" t="n"/>
      <c r="E38" s="5" t="n"/>
      <c r="F38" s="5" t="n"/>
      <c r="G38" s="5" t="n"/>
      <c r="H38" s="5" t="n"/>
      <c r="I38" s="19">
        <f>IF($O38=0,"",ROUND((INDEX(Servicios!$C$9:$C$38,MAX(1,$O38))+IF(INDEX(Servicios!$D$9:$D$38,MAX(1,$O38))="Sí",SUMIFS(Ajustes!$D$5:$D$18,Ajustes!$A$5:$A$18,"Largo",Ajustes!$B$5:$B$18,""&amp;$E38),0)+IF(INDEX(Servicios!$E$9:$E$38,MAX(1,$O38))="Sí",SUMIFS(Ajustes!$D$5:$D$18,Ajustes!$A$5:$A$18,"Densidad",Ajustes!$B$5:$B$18,""&amp;$F38),0)+IF(INDEX(Servicios!$F$9:$F$38,MAX(1,$O38))="Sí",SUMIFS(Ajustes!$D$5:$D$18,Ajustes!$A$5:$A$18,"Estado de la fibra",Ajustes!$B$5:$B$18,""&amp;$G38),0)+IF(INDEX(Servicios!$G$9:$G$38,MAX(1,$O38))="Sí",SUMIFS(Ajustes!$D$5:$D$18,Ajustes!$A$5:$A$18,"Canas",Ajustes!$B$5:$B$18,""&amp;$H38),0))*(1+IF(INDEX(Servicios!$D$9:$D$38,MAX(1,$O38))="Sí",SUMIFS(Ajustes!$E$5:$E$18,Ajustes!$A$5:$A$18,"Largo",Ajustes!$B$5:$B$18,""&amp;$E38),0)+IF(INDEX(Servicios!$E$9:$E$38,MAX(1,$O38))="Sí",SUMIFS(Ajustes!$E$5:$E$18,Ajustes!$A$5:$A$18,"Densidad",Ajustes!$B$5:$B$18,""&amp;$F38),0)+IF(INDEX(Servicios!$F$9:$F$38,MAX(1,$O38))="Sí",SUMIFS(Ajustes!$E$5:$E$18,Ajustes!$A$5:$A$18,"Estado de la fibra",Ajustes!$B$5:$B$18,""&amp;$G38),0)+IF(INDEX(Servicios!$G$9:$G$38,MAX(1,$O38))="Sí",SUMIFS(Ajustes!$E$5:$E$18,Ajustes!$A$5:$A$18,"Canas",Ajustes!$B$5:$B$18,""&amp;$H38),0))/MAX(1,Servicios!$E$5),0)*MAX(1,Servicios!$E$5))</f>
        <v/>
      </c>
      <c r="J38" s="11" t="n"/>
      <c r="K38" s="19">
        <f>IF(OR(I38="",J38=""),"",J38-I38)</f>
        <v/>
      </c>
      <c r="L38" s="20">
        <f>IF(OR(I38="",J38="",I38=0),"",J38/I38-1)</f>
        <v/>
      </c>
      <c r="M38" s="5" t="n"/>
      <c r="N38" s="5" t="n"/>
      <c r="O38" s="25">
        <f>IF($D38="",0,IFERROR(MATCH($D38,Servicios!$A$9:$A$38,0),0))</f>
        <v/>
      </c>
      <c r="P38" s="25">
        <f>IF(OR(I38="",J38=""),"",IF(ABS(J38-I38)&lt;=0.05*I38,1,0))</f>
        <v/>
      </c>
    </row>
    <row r="39">
      <c r="A39" s="10" t="n"/>
      <c r="B39" s="5" t="n"/>
      <c r="C39" s="5" t="n"/>
      <c r="D39" s="5" t="n"/>
      <c r="E39" s="5" t="n"/>
      <c r="F39" s="5" t="n"/>
      <c r="G39" s="5" t="n"/>
      <c r="H39" s="5" t="n"/>
      <c r="I39" s="19">
        <f>IF($O39=0,"",ROUND((INDEX(Servicios!$C$9:$C$38,MAX(1,$O39))+IF(INDEX(Servicios!$D$9:$D$38,MAX(1,$O39))="Sí",SUMIFS(Ajustes!$D$5:$D$18,Ajustes!$A$5:$A$18,"Largo",Ajustes!$B$5:$B$18,""&amp;$E39),0)+IF(INDEX(Servicios!$E$9:$E$38,MAX(1,$O39))="Sí",SUMIFS(Ajustes!$D$5:$D$18,Ajustes!$A$5:$A$18,"Densidad",Ajustes!$B$5:$B$18,""&amp;$F39),0)+IF(INDEX(Servicios!$F$9:$F$38,MAX(1,$O39))="Sí",SUMIFS(Ajustes!$D$5:$D$18,Ajustes!$A$5:$A$18,"Estado de la fibra",Ajustes!$B$5:$B$18,""&amp;$G39),0)+IF(INDEX(Servicios!$G$9:$G$38,MAX(1,$O39))="Sí",SUMIFS(Ajustes!$D$5:$D$18,Ajustes!$A$5:$A$18,"Canas",Ajustes!$B$5:$B$18,""&amp;$H39),0))*(1+IF(INDEX(Servicios!$D$9:$D$38,MAX(1,$O39))="Sí",SUMIFS(Ajustes!$E$5:$E$18,Ajustes!$A$5:$A$18,"Largo",Ajustes!$B$5:$B$18,""&amp;$E39),0)+IF(INDEX(Servicios!$E$9:$E$38,MAX(1,$O39))="Sí",SUMIFS(Ajustes!$E$5:$E$18,Ajustes!$A$5:$A$18,"Densidad",Ajustes!$B$5:$B$18,""&amp;$F39),0)+IF(INDEX(Servicios!$F$9:$F$38,MAX(1,$O39))="Sí",SUMIFS(Ajustes!$E$5:$E$18,Ajustes!$A$5:$A$18,"Estado de la fibra",Ajustes!$B$5:$B$18,""&amp;$G39),0)+IF(INDEX(Servicios!$G$9:$G$38,MAX(1,$O39))="Sí",SUMIFS(Ajustes!$E$5:$E$18,Ajustes!$A$5:$A$18,"Canas",Ajustes!$B$5:$B$18,""&amp;$H39),0))/MAX(1,Servicios!$E$5),0)*MAX(1,Servicios!$E$5))</f>
        <v/>
      </c>
      <c r="J39" s="11" t="n"/>
      <c r="K39" s="19">
        <f>IF(OR(I39="",J39=""),"",J39-I39)</f>
        <v/>
      </c>
      <c r="L39" s="20">
        <f>IF(OR(I39="",J39="",I39=0),"",J39/I39-1)</f>
        <v/>
      </c>
      <c r="M39" s="5" t="n"/>
      <c r="N39" s="5" t="n"/>
      <c r="O39" s="25">
        <f>IF($D39="",0,IFERROR(MATCH($D39,Servicios!$A$9:$A$38,0),0))</f>
        <v/>
      </c>
      <c r="P39" s="25">
        <f>IF(OR(I39="",J39=""),"",IF(ABS(J39-I39)&lt;=0.05*I39,1,0))</f>
        <v/>
      </c>
    </row>
    <row r="40">
      <c r="A40" s="10" t="n"/>
      <c r="B40" s="5" t="n"/>
      <c r="C40" s="5" t="n"/>
      <c r="D40" s="5" t="n"/>
      <c r="E40" s="5" t="n"/>
      <c r="F40" s="5" t="n"/>
      <c r="G40" s="5" t="n"/>
      <c r="H40" s="5" t="n"/>
      <c r="I40" s="19">
        <f>IF($O40=0,"",ROUND((INDEX(Servicios!$C$9:$C$38,MAX(1,$O40))+IF(INDEX(Servicios!$D$9:$D$38,MAX(1,$O40))="Sí",SUMIFS(Ajustes!$D$5:$D$18,Ajustes!$A$5:$A$18,"Largo",Ajustes!$B$5:$B$18,""&amp;$E40),0)+IF(INDEX(Servicios!$E$9:$E$38,MAX(1,$O40))="Sí",SUMIFS(Ajustes!$D$5:$D$18,Ajustes!$A$5:$A$18,"Densidad",Ajustes!$B$5:$B$18,""&amp;$F40),0)+IF(INDEX(Servicios!$F$9:$F$38,MAX(1,$O40))="Sí",SUMIFS(Ajustes!$D$5:$D$18,Ajustes!$A$5:$A$18,"Estado de la fibra",Ajustes!$B$5:$B$18,""&amp;$G40),0)+IF(INDEX(Servicios!$G$9:$G$38,MAX(1,$O40))="Sí",SUMIFS(Ajustes!$D$5:$D$18,Ajustes!$A$5:$A$18,"Canas",Ajustes!$B$5:$B$18,""&amp;$H40),0))*(1+IF(INDEX(Servicios!$D$9:$D$38,MAX(1,$O40))="Sí",SUMIFS(Ajustes!$E$5:$E$18,Ajustes!$A$5:$A$18,"Largo",Ajustes!$B$5:$B$18,""&amp;$E40),0)+IF(INDEX(Servicios!$E$9:$E$38,MAX(1,$O40))="Sí",SUMIFS(Ajustes!$E$5:$E$18,Ajustes!$A$5:$A$18,"Densidad",Ajustes!$B$5:$B$18,""&amp;$F40),0)+IF(INDEX(Servicios!$F$9:$F$38,MAX(1,$O40))="Sí",SUMIFS(Ajustes!$E$5:$E$18,Ajustes!$A$5:$A$18,"Estado de la fibra",Ajustes!$B$5:$B$18,""&amp;$G40),0)+IF(INDEX(Servicios!$G$9:$G$38,MAX(1,$O40))="Sí",SUMIFS(Ajustes!$E$5:$E$18,Ajustes!$A$5:$A$18,"Canas",Ajustes!$B$5:$B$18,""&amp;$H40),0))/MAX(1,Servicios!$E$5),0)*MAX(1,Servicios!$E$5))</f>
        <v/>
      </c>
      <c r="J40" s="11" t="n"/>
      <c r="K40" s="19">
        <f>IF(OR(I40="",J40=""),"",J40-I40)</f>
        <v/>
      </c>
      <c r="L40" s="20">
        <f>IF(OR(I40="",J40="",I40=0),"",J40/I40-1)</f>
        <v/>
      </c>
      <c r="M40" s="5" t="n"/>
      <c r="N40" s="5" t="n"/>
      <c r="O40" s="25">
        <f>IF($D40="",0,IFERROR(MATCH($D40,Servicios!$A$9:$A$38,0),0))</f>
        <v/>
      </c>
      <c r="P40" s="25">
        <f>IF(OR(I40="",J40=""),"",IF(ABS(J40-I40)&lt;=0.05*I40,1,0))</f>
        <v/>
      </c>
    </row>
    <row r="41">
      <c r="A41" s="10" t="n"/>
      <c r="B41" s="5" t="n"/>
      <c r="C41" s="5" t="n"/>
      <c r="D41" s="5" t="n"/>
      <c r="E41" s="5" t="n"/>
      <c r="F41" s="5" t="n"/>
      <c r="G41" s="5" t="n"/>
      <c r="H41" s="5" t="n"/>
      <c r="I41" s="19">
        <f>IF($O41=0,"",ROUND((INDEX(Servicios!$C$9:$C$38,MAX(1,$O41))+IF(INDEX(Servicios!$D$9:$D$38,MAX(1,$O41))="Sí",SUMIFS(Ajustes!$D$5:$D$18,Ajustes!$A$5:$A$18,"Largo",Ajustes!$B$5:$B$18,""&amp;$E41),0)+IF(INDEX(Servicios!$E$9:$E$38,MAX(1,$O41))="Sí",SUMIFS(Ajustes!$D$5:$D$18,Ajustes!$A$5:$A$18,"Densidad",Ajustes!$B$5:$B$18,""&amp;$F41),0)+IF(INDEX(Servicios!$F$9:$F$38,MAX(1,$O41))="Sí",SUMIFS(Ajustes!$D$5:$D$18,Ajustes!$A$5:$A$18,"Estado de la fibra",Ajustes!$B$5:$B$18,""&amp;$G41),0)+IF(INDEX(Servicios!$G$9:$G$38,MAX(1,$O41))="Sí",SUMIFS(Ajustes!$D$5:$D$18,Ajustes!$A$5:$A$18,"Canas",Ajustes!$B$5:$B$18,""&amp;$H41),0))*(1+IF(INDEX(Servicios!$D$9:$D$38,MAX(1,$O41))="Sí",SUMIFS(Ajustes!$E$5:$E$18,Ajustes!$A$5:$A$18,"Largo",Ajustes!$B$5:$B$18,""&amp;$E41),0)+IF(INDEX(Servicios!$E$9:$E$38,MAX(1,$O41))="Sí",SUMIFS(Ajustes!$E$5:$E$18,Ajustes!$A$5:$A$18,"Densidad",Ajustes!$B$5:$B$18,""&amp;$F41),0)+IF(INDEX(Servicios!$F$9:$F$38,MAX(1,$O41))="Sí",SUMIFS(Ajustes!$E$5:$E$18,Ajustes!$A$5:$A$18,"Estado de la fibra",Ajustes!$B$5:$B$18,""&amp;$G41),0)+IF(INDEX(Servicios!$G$9:$G$38,MAX(1,$O41))="Sí",SUMIFS(Ajustes!$E$5:$E$18,Ajustes!$A$5:$A$18,"Canas",Ajustes!$B$5:$B$18,""&amp;$H41),0))/MAX(1,Servicios!$E$5),0)*MAX(1,Servicios!$E$5))</f>
        <v/>
      </c>
      <c r="J41" s="11" t="n"/>
      <c r="K41" s="19">
        <f>IF(OR(I41="",J41=""),"",J41-I41)</f>
        <v/>
      </c>
      <c r="L41" s="20">
        <f>IF(OR(I41="",J41="",I41=0),"",J41/I41-1)</f>
        <v/>
      </c>
      <c r="M41" s="5" t="n"/>
      <c r="N41" s="5" t="n"/>
      <c r="O41" s="25">
        <f>IF($D41="",0,IFERROR(MATCH($D41,Servicios!$A$9:$A$38,0),0))</f>
        <v/>
      </c>
      <c r="P41" s="25">
        <f>IF(OR(I41="",J41=""),"",IF(ABS(J41-I41)&lt;=0.05*I41,1,0))</f>
        <v/>
      </c>
    </row>
    <row r="42">
      <c r="A42" s="10" t="n"/>
      <c r="B42" s="5" t="n"/>
      <c r="C42" s="5" t="n"/>
      <c r="D42" s="5" t="n"/>
      <c r="E42" s="5" t="n"/>
      <c r="F42" s="5" t="n"/>
      <c r="G42" s="5" t="n"/>
      <c r="H42" s="5" t="n"/>
      <c r="I42" s="19">
        <f>IF($O42=0,"",ROUND((INDEX(Servicios!$C$9:$C$38,MAX(1,$O42))+IF(INDEX(Servicios!$D$9:$D$38,MAX(1,$O42))="Sí",SUMIFS(Ajustes!$D$5:$D$18,Ajustes!$A$5:$A$18,"Largo",Ajustes!$B$5:$B$18,""&amp;$E42),0)+IF(INDEX(Servicios!$E$9:$E$38,MAX(1,$O42))="Sí",SUMIFS(Ajustes!$D$5:$D$18,Ajustes!$A$5:$A$18,"Densidad",Ajustes!$B$5:$B$18,""&amp;$F42),0)+IF(INDEX(Servicios!$F$9:$F$38,MAX(1,$O42))="Sí",SUMIFS(Ajustes!$D$5:$D$18,Ajustes!$A$5:$A$18,"Estado de la fibra",Ajustes!$B$5:$B$18,""&amp;$G42),0)+IF(INDEX(Servicios!$G$9:$G$38,MAX(1,$O42))="Sí",SUMIFS(Ajustes!$D$5:$D$18,Ajustes!$A$5:$A$18,"Canas",Ajustes!$B$5:$B$18,""&amp;$H42),0))*(1+IF(INDEX(Servicios!$D$9:$D$38,MAX(1,$O42))="Sí",SUMIFS(Ajustes!$E$5:$E$18,Ajustes!$A$5:$A$18,"Largo",Ajustes!$B$5:$B$18,""&amp;$E42),0)+IF(INDEX(Servicios!$E$9:$E$38,MAX(1,$O42))="Sí",SUMIFS(Ajustes!$E$5:$E$18,Ajustes!$A$5:$A$18,"Densidad",Ajustes!$B$5:$B$18,""&amp;$F42),0)+IF(INDEX(Servicios!$F$9:$F$38,MAX(1,$O42))="Sí",SUMIFS(Ajustes!$E$5:$E$18,Ajustes!$A$5:$A$18,"Estado de la fibra",Ajustes!$B$5:$B$18,""&amp;$G42),0)+IF(INDEX(Servicios!$G$9:$G$38,MAX(1,$O42))="Sí",SUMIFS(Ajustes!$E$5:$E$18,Ajustes!$A$5:$A$18,"Canas",Ajustes!$B$5:$B$18,""&amp;$H42),0))/MAX(1,Servicios!$E$5),0)*MAX(1,Servicios!$E$5))</f>
        <v/>
      </c>
      <c r="J42" s="11" t="n"/>
      <c r="K42" s="19">
        <f>IF(OR(I42="",J42=""),"",J42-I42)</f>
        <v/>
      </c>
      <c r="L42" s="20">
        <f>IF(OR(I42="",J42="",I42=0),"",J42/I42-1)</f>
        <v/>
      </c>
      <c r="M42" s="5" t="n"/>
      <c r="N42" s="5" t="n"/>
      <c r="O42" s="25">
        <f>IF($D42="",0,IFERROR(MATCH($D42,Servicios!$A$9:$A$38,0),0))</f>
        <v/>
      </c>
      <c r="P42" s="25">
        <f>IF(OR(I42="",J42=""),"",IF(ABS(J42-I42)&lt;=0.05*I42,1,0))</f>
        <v/>
      </c>
    </row>
    <row r="43">
      <c r="A43" s="10" t="n"/>
      <c r="B43" s="5" t="n"/>
      <c r="C43" s="5" t="n"/>
      <c r="D43" s="5" t="n"/>
      <c r="E43" s="5" t="n"/>
      <c r="F43" s="5" t="n"/>
      <c r="G43" s="5" t="n"/>
      <c r="H43" s="5" t="n"/>
      <c r="I43" s="19">
        <f>IF($O43=0,"",ROUND((INDEX(Servicios!$C$9:$C$38,MAX(1,$O43))+IF(INDEX(Servicios!$D$9:$D$38,MAX(1,$O43))="Sí",SUMIFS(Ajustes!$D$5:$D$18,Ajustes!$A$5:$A$18,"Largo",Ajustes!$B$5:$B$18,""&amp;$E43),0)+IF(INDEX(Servicios!$E$9:$E$38,MAX(1,$O43))="Sí",SUMIFS(Ajustes!$D$5:$D$18,Ajustes!$A$5:$A$18,"Densidad",Ajustes!$B$5:$B$18,""&amp;$F43),0)+IF(INDEX(Servicios!$F$9:$F$38,MAX(1,$O43))="Sí",SUMIFS(Ajustes!$D$5:$D$18,Ajustes!$A$5:$A$18,"Estado de la fibra",Ajustes!$B$5:$B$18,""&amp;$G43),0)+IF(INDEX(Servicios!$G$9:$G$38,MAX(1,$O43))="Sí",SUMIFS(Ajustes!$D$5:$D$18,Ajustes!$A$5:$A$18,"Canas",Ajustes!$B$5:$B$18,""&amp;$H43),0))*(1+IF(INDEX(Servicios!$D$9:$D$38,MAX(1,$O43))="Sí",SUMIFS(Ajustes!$E$5:$E$18,Ajustes!$A$5:$A$18,"Largo",Ajustes!$B$5:$B$18,""&amp;$E43),0)+IF(INDEX(Servicios!$E$9:$E$38,MAX(1,$O43))="Sí",SUMIFS(Ajustes!$E$5:$E$18,Ajustes!$A$5:$A$18,"Densidad",Ajustes!$B$5:$B$18,""&amp;$F43),0)+IF(INDEX(Servicios!$F$9:$F$38,MAX(1,$O43))="Sí",SUMIFS(Ajustes!$E$5:$E$18,Ajustes!$A$5:$A$18,"Estado de la fibra",Ajustes!$B$5:$B$18,""&amp;$G43),0)+IF(INDEX(Servicios!$G$9:$G$38,MAX(1,$O43))="Sí",SUMIFS(Ajustes!$E$5:$E$18,Ajustes!$A$5:$A$18,"Canas",Ajustes!$B$5:$B$18,""&amp;$H43),0))/MAX(1,Servicios!$E$5),0)*MAX(1,Servicios!$E$5))</f>
        <v/>
      </c>
      <c r="J43" s="11" t="n"/>
      <c r="K43" s="19">
        <f>IF(OR(I43="",J43=""),"",J43-I43)</f>
        <v/>
      </c>
      <c r="L43" s="20">
        <f>IF(OR(I43="",J43="",I43=0),"",J43/I43-1)</f>
        <v/>
      </c>
      <c r="M43" s="5" t="n"/>
      <c r="N43" s="5" t="n"/>
      <c r="O43" s="25">
        <f>IF($D43="",0,IFERROR(MATCH($D43,Servicios!$A$9:$A$38,0),0))</f>
        <v/>
      </c>
      <c r="P43" s="25">
        <f>IF(OR(I43="",J43=""),"",IF(ABS(J43-I43)&lt;=0.05*I43,1,0))</f>
        <v/>
      </c>
    </row>
    <row r="44">
      <c r="A44" s="10" t="n"/>
      <c r="B44" s="5" t="n"/>
      <c r="C44" s="5" t="n"/>
      <c r="D44" s="5" t="n"/>
      <c r="E44" s="5" t="n"/>
      <c r="F44" s="5" t="n"/>
      <c r="G44" s="5" t="n"/>
      <c r="H44" s="5" t="n"/>
      <c r="I44" s="19">
        <f>IF($O44=0,"",ROUND((INDEX(Servicios!$C$9:$C$38,MAX(1,$O44))+IF(INDEX(Servicios!$D$9:$D$38,MAX(1,$O44))="Sí",SUMIFS(Ajustes!$D$5:$D$18,Ajustes!$A$5:$A$18,"Largo",Ajustes!$B$5:$B$18,""&amp;$E44),0)+IF(INDEX(Servicios!$E$9:$E$38,MAX(1,$O44))="Sí",SUMIFS(Ajustes!$D$5:$D$18,Ajustes!$A$5:$A$18,"Densidad",Ajustes!$B$5:$B$18,""&amp;$F44),0)+IF(INDEX(Servicios!$F$9:$F$38,MAX(1,$O44))="Sí",SUMIFS(Ajustes!$D$5:$D$18,Ajustes!$A$5:$A$18,"Estado de la fibra",Ajustes!$B$5:$B$18,""&amp;$G44),0)+IF(INDEX(Servicios!$G$9:$G$38,MAX(1,$O44))="Sí",SUMIFS(Ajustes!$D$5:$D$18,Ajustes!$A$5:$A$18,"Canas",Ajustes!$B$5:$B$18,""&amp;$H44),0))*(1+IF(INDEX(Servicios!$D$9:$D$38,MAX(1,$O44))="Sí",SUMIFS(Ajustes!$E$5:$E$18,Ajustes!$A$5:$A$18,"Largo",Ajustes!$B$5:$B$18,""&amp;$E44),0)+IF(INDEX(Servicios!$E$9:$E$38,MAX(1,$O44))="Sí",SUMIFS(Ajustes!$E$5:$E$18,Ajustes!$A$5:$A$18,"Densidad",Ajustes!$B$5:$B$18,""&amp;$F44),0)+IF(INDEX(Servicios!$F$9:$F$38,MAX(1,$O44))="Sí",SUMIFS(Ajustes!$E$5:$E$18,Ajustes!$A$5:$A$18,"Estado de la fibra",Ajustes!$B$5:$B$18,""&amp;$G44),0)+IF(INDEX(Servicios!$G$9:$G$38,MAX(1,$O44))="Sí",SUMIFS(Ajustes!$E$5:$E$18,Ajustes!$A$5:$A$18,"Canas",Ajustes!$B$5:$B$18,""&amp;$H44),0))/MAX(1,Servicios!$E$5),0)*MAX(1,Servicios!$E$5))</f>
        <v/>
      </c>
      <c r="J44" s="11" t="n"/>
      <c r="K44" s="19">
        <f>IF(OR(I44="",J44=""),"",J44-I44)</f>
        <v/>
      </c>
      <c r="L44" s="20">
        <f>IF(OR(I44="",J44="",I44=0),"",J44/I44-1)</f>
        <v/>
      </c>
      <c r="M44" s="5" t="n"/>
      <c r="N44" s="5" t="n"/>
      <c r="O44" s="25">
        <f>IF($D44="",0,IFERROR(MATCH($D44,Servicios!$A$9:$A$38,0),0))</f>
        <v/>
      </c>
      <c r="P44" s="25">
        <f>IF(OR(I44="",J44=""),"",IF(ABS(J44-I44)&lt;=0.05*I44,1,0))</f>
        <v/>
      </c>
    </row>
    <row r="45">
      <c r="A45" s="10" t="n"/>
      <c r="B45" s="5" t="n"/>
      <c r="C45" s="5" t="n"/>
      <c r="D45" s="5" t="n"/>
      <c r="E45" s="5" t="n"/>
      <c r="F45" s="5" t="n"/>
      <c r="G45" s="5" t="n"/>
      <c r="H45" s="5" t="n"/>
      <c r="I45" s="19">
        <f>IF($O45=0,"",ROUND((INDEX(Servicios!$C$9:$C$38,MAX(1,$O45))+IF(INDEX(Servicios!$D$9:$D$38,MAX(1,$O45))="Sí",SUMIFS(Ajustes!$D$5:$D$18,Ajustes!$A$5:$A$18,"Largo",Ajustes!$B$5:$B$18,""&amp;$E45),0)+IF(INDEX(Servicios!$E$9:$E$38,MAX(1,$O45))="Sí",SUMIFS(Ajustes!$D$5:$D$18,Ajustes!$A$5:$A$18,"Densidad",Ajustes!$B$5:$B$18,""&amp;$F45),0)+IF(INDEX(Servicios!$F$9:$F$38,MAX(1,$O45))="Sí",SUMIFS(Ajustes!$D$5:$D$18,Ajustes!$A$5:$A$18,"Estado de la fibra",Ajustes!$B$5:$B$18,""&amp;$G45),0)+IF(INDEX(Servicios!$G$9:$G$38,MAX(1,$O45))="Sí",SUMIFS(Ajustes!$D$5:$D$18,Ajustes!$A$5:$A$18,"Canas",Ajustes!$B$5:$B$18,""&amp;$H45),0))*(1+IF(INDEX(Servicios!$D$9:$D$38,MAX(1,$O45))="Sí",SUMIFS(Ajustes!$E$5:$E$18,Ajustes!$A$5:$A$18,"Largo",Ajustes!$B$5:$B$18,""&amp;$E45),0)+IF(INDEX(Servicios!$E$9:$E$38,MAX(1,$O45))="Sí",SUMIFS(Ajustes!$E$5:$E$18,Ajustes!$A$5:$A$18,"Densidad",Ajustes!$B$5:$B$18,""&amp;$F45),0)+IF(INDEX(Servicios!$F$9:$F$38,MAX(1,$O45))="Sí",SUMIFS(Ajustes!$E$5:$E$18,Ajustes!$A$5:$A$18,"Estado de la fibra",Ajustes!$B$5:$B$18,""&amp;$G45),0)+IF(INDEX(Servicios!$G$9:$G$38,MAX(1,$O45))="Sí",SUMIFS(Ajustes!$E$5:$E$18,Ajustes!$A$5:$A$18,"Canas",Ajustes!$B$5:$B$18,""&amp;$H45),0))/MAX(1,Servicios!$E$5),0)*MAX(1,Servicios!$E$5))</f>
        <v/>
      </c>
      <c r="J45" s="11" t="n"/>
      <c r="K45" s="19">
        <f>IF(OR(I45="",J45=""),"",J45-I45)</f>
        <v/>
      </c>
      <c r="L45" s="20">
        <f>IF(OR(I45="",J45="",I45=0),"",J45/I45-1)</f>
        <v/>
      </c>
      <c r="M45" s="5" t="n"/>
      <c r="N45" s="5" t="n"/>
      <c r="O45" s="25">
        <f>IF($D45="",0,IFERROR(MATCH($D45,Servicios!$A$9:$A$38,0),0))</f>
        <v/>
      </c>
      <c r="P45" s="25">
        <f>IF(OR(I45="",J45=""),"",IF(ABS(J45-I45)&lt;=0.05*I45,1,0))</f>
        <v/>
      </c>
    </row>
    <row r="46">
      <c r="A46" s="10" t="n"/>
      <c r="B46" s="5" t="n"/>
      <c r="C46" s="5" t="n"/>
      <c r="D46" s="5" t="n"/>
      <c r="E46" s="5" t="n"/>
      <c r="F46" s="5" t="n"/>
      <c r="G46" s="5" t="n"/>
      <c r="H46" s="5" t="n"/>
      <c r="I46" s="19">
        <f>IF($O46=0,"",ROUND((INDEX(Servicios!$C$9:$C$38,MAX(1,$O46))+IF(INDEX(Servicios!$D$9:$D$38,MAX(1,$O46))="Sí",SUMIFS(Ajustes!$D$5:$D$18,Ajustes!$A$5:$A$18,"Largo",Ajustes!$B$5:$B$18,""&amp;$E46),0)+IF(INDEX(Servicios!$E$9:$E$38,MAX(1,$O46))="Sí",SUMIFS(Ajustes!$D$5:$D$18,Ajustes!$A$5:$A$18,"Densidad",Ajustes!$B$5:$B$18,""&amp;$F46),0)+IF(INDEX(Servicios!$F$9:$F$38,MAX(1,$O46))="Sí",SUMIFS(Ajustes!$D$5:$D$18,Ajustes!$A$5:$A$18,"Estado de la fibra",Ajustes!$B$5:$B$18,""&amp;$G46),0)+IF(INDEX(Servicios!$G$9:$G$38,MAX(1,$O46))="Sí",SUMIFS(Ajustes!$D$5:$D$18,Ajustes!$A$5:$A$18,"Canas",Ajustes!$B$5:$B$18,""&amp;$H46),0))*(1+IF(INDEX(Servicios!$D$9:$D$38,MAX(1,$O46))="Sí",SUMIFS(Ajustes!$E$5:$E$18,Ajustes!$A$5:$A$18,"Largo",Ajustes!$B$5:$B$18,""&amp;$E46),0)+IF(INDEX(Servicios!$E$9:$E$38,MAX(1,$O46))="Sí",SUMIFS(Ajustes!$E$5:$E$18,Ajustes!$A$5:$A$18,"Densidad",Ajustes!$B$5:$B$18,""&amp;$F46),0)+IF(INDEX(Servicios!$F$9:$F$38,MAX(1,$O46))="Sí",SUMIFS(Ajustes!$E$5:$E$18,Ajustes!$A$5:$A$18,"Estado de la fibra",Ajustes!$B$5:$B$18,""&amp;$G46),0)+IF(INDEX(Servicios!$G$9:$G$38,MAX(1,$O46))="Sí",SUMIFS(Ajustes!$E$5:$E$18,Ajustes!$A$5:$A$18,"Canas",Ajustes!$B$5:$B$18,""&amp;$H46),0))/MAX(1,Servicios!$E$5),0)*MAX(1,Servicios!$E$5))</f>
        <v/>
      </c>
      <c r="J46" s="11" t="n"/>
      <c r="K46" s="19">
        <f>IF(OR(I46="",J46=""),"",J46-I46)</f>
        <v/>
      </c>
      <c r="L46" s="20">
        <f>IF(OR(I46="",J46="",I46=0),"",J46/I46-1)</f>
        <v/>
      </c>
      <c r="M46" s="5" t="n"/>
      <c r="N46" s="5" t="n"/>
      <c r="O46" s="25">
        <f>IF($D46="",0,IFERROR(MATCH($D46,Servicios!$A$9:$A$38,0),0))</f>
        <v/>
      </c>
      <c r="P46" s="25">
        <f>IF(OR(I46="",J46=""),"",IF(ABS(J46-I46)&lt;=0.05*I46,1,0))</f>
        <v/>
      </c>
    </row>
    <row r="47">
      <c r="A47" s="10" t="n"/>
      <c r="B47" s="5" t="n"/>
      <c r="C47" s="5" t="n"/>
      <c r="D47" s="5" t="n"/>
      <c r="E47" s="5" t="n"/>
      <c r="F47" s="5" t="n"/>
      <c r="G47" s="5" t="n"/>
      <c r="H47" s="5" t="n"/>
      <c r="I47" s="19">
        <f>IF($O47=0,"",ROUND((INDEX(Servicios!$C$9:$C$38,MAX(1,$O47))+IF(INDEX(Servicios!$D$9:$D$38,MAX(1,$O47))="Sí",SUMIFS(Ajustes!$D$5:$D$18,Ajustes!$A$5:$A$18,"Largo",Ajustes!$B$5:$B$18,""&amp;$E47),0)+IF(INDEX(Servicios!$E$9:$E$38,MAX(1,$O47))="Sí",SUMIFS(Ajustes!$D$5:$D$18,Ajustes!$A$5:$A$18,"Densidad",Ajustes!$B$5:$B$18,""&amp;$F47),0)+IF(INDEX(Servicios!$F$9:$F$38,MAX(1,$O47))="Sí",SUMIFS(Ajustes!$D$5:$D$18,Ajustes!$A$5:$A$18,"Estado de la fibra",Ajustes!$B$5:$B$18,""&amp;$G47),0)+IF(INDEX(Servicios!$G$9:$G$38,MAX(1,$O47))="Sí",SUMIFS(Ajustes!$D$5:$D$18,Ajustes!$A$5:$A$18,"Canas",Ajustes!$B$5:$B$18,""&amp;$H47),0))*(1+IF(INDEX(Servicios!$D$9:$D$38,MAX(1,$O47))="Sí",SUMIFS(Ajustes!$E$5:$E$18,Ajustes!$A$5:$A$18,"Largo",Ajustes!$B$5:$B$18,""&amp;$E47),0)+IF(INDEX(Servicios!$E$9:$E$38,MAX(1,$O47))="Sí",SUMIFS(Ajustes!$E$5:$E$18,Ajustes!$A$5:$A$18,"Densidad",Ajustes!$B$5:$B$18,""&amp;$F47),0)+IF(INDEX(Servicios!$F$9:$F$38,MAX(1,$O47))="Sí",SUMIFS(Ajustes!$E$5:$E$18,Ajustes!$A$5:$A$18,"Estado de la fibra",Ajustes!$B$5:$B$18,""&amp;$G47),0)+IF(INDEX(Servicios!$G$9:$G$38,MAX(1,$O47))="Sí",SUMIFS(Ajustes!$E$5:$E$18,Ajustes!$A$5:$A$18,"Canas",Ajustes!$B$5:$B$18,""&amp;$H47),0))/MAX(1,Servicios!$E$5),0)*MAX(1,Servicios!$E$5))</f>
        <v/>
      </c>
      <c r="J47" s="11" t="n"/>
      <c r="K47" s="19">
        <f>IF(OR(I47="",J47=""),"",J47-I47)</f>
        <v/>
      </c>
      <c r="L47" s="20">
        <f>IF(OR(I47="",J47="",I47=0),"",J47/I47-1)</f>
        <v/>
      </c>
      <c r="M47" s="5" t="n"/>
      <c r="N47" s="5" t="n"/>
      <c r="O47" s="25">
        <f>IF($D47="",0,IFERROR(MATCH($D47,Servicios!$A$9:$A$38,0),0))</f>
        <v/>
      </c>
      <c r="P47" s="25">
        <f>IF(OR(I47="",J47=""),"",IF(ABS(J47-I47)&lt;=0.05*I47,1,0))</f>
        <v/>
      </c>
    </row>
    <row r="48">
      <c r="A48" s="10" t="n"/>
      <c r="B48" s="5" t="n"/>
      <c r="C48" s="5" t="n"/>
      <c r="D48" s="5" t="n"/>
      <c r="E48" s="5" t="n"/>
      <c r="F48" s="5" t="n"/>
      <c r="G48" s="5" t="n"/>
      <c r="H48" s="5" t="n"/>
      <c r="I48" s="19">
        <f>IF($O48=0,"",ROUND((INDEX(Servicios!$C$9:$C$38,MAX(1,$O48))+IF(INDEX(Servicios!$D$9:$D$38,MAX(1,$O48))="Sí",SUMIFS(Ajustes!$D$5:$D$18,Ajustes!$A$5:$A$18,"Largo",Ajustes!$B$5:$B$18,""&amp;$E48),0)+IF(INDEX(Servicios!$E$9:$E$38,MAX(1,$O48))="Sí",SUMIFS(Ajustes!$D$5:$D$18,Ajustes!$A$5:$A$18,"Densidad",Ajustes!$B$5:$B$18,""&amp;$F48),0)+IF(INDEX(Servicios!$F$9:$F$38,MAX(1,$O48))="Sí",SUMIFS(Ajustes!$D$5:$D$18,Ajustes!$A$5:$A$18,"Estado de la fibra",Ajustes!$B$5:$B$18,""&amp;$G48),0)+IF(INDEX(Servicios!$G$9:$G$38,MAX(1,$O48))="Sí",SUMIFS(Ajustes!$D$5:$D$18,Ajustes!$A$5:$A$18,"Canas",Ajustes!$B$5:$B$18,""&amp;$H48),0))*(1+IF(INDEX(Servicios!$D$9:$D$38,MAX(1,$O48))="Sí",SUMIFS(Ajustes!$E$5:$E$18,Ajustes!$A$5:$A$18,"Largo",Ajustes!$B$5:$B$18,""&amp;$E48),0)+IF(INDEX(Servicios!$E$9:$E$38,MAX(1,$O48))="Sí",SUMIFS(Ajustes!$E$5:$E$18,Ajustes!$A$5:$A$18,"Densidad",Ajustes!$B$5:$B$18,""&amp;$F48),0)+IF(INDEX(Servicios!$F$9:$F$38,MAX(1,$O48))="Sí",SUMIFS(Ajustes!$E$5:$E$18,Ajustes!$A$5:$A$18,"Estado de la fibra",Ajustes!$B$5:$B$18,""&amp;$G48),0)+IF(INDEX(Servicios!$G$9:$G$38,MAX(1,$O48))="Sí",SUMIFS(Ajustes!$E$5:$E$18,Ajustes!$A$5:$A$18,"Canas",Ajustes!$B$5:$B$18,""&amp;$H48),0))/MAX(1,Servicios!$E$5),0)*MAX(1,Servicios!$E$5))</f>
        <v/>
      </c>
      <c r="J48" s="11" t="n"/>
      <c r="K48" s="19">
        <f>IF(OR(I48="",J48=""),"",J48-I48)</f>
        <v/>
      </c>
      <c r="L48" s="20">
        <f>IF(OR(I48="",J48="",I48=0),"",J48/I48-1)</f>
        <v/>
      </c>
      <c r="M48" s="5" t="n"/>
      <c r="N48" s="5" t="n"/>
      <c r="O48" s="25">
        <f>IF($D48="",0,IFERROR(MATCH($D48,Servicios!$A$9:$A$38,0),0))</f>
        <v/>
      </c>
      <c r="P48" s="25">
        <f>IF(OR(I48="",J48=""),"",IF(ABS(J48-I48)&lt;=0.05*I48,1,0))</f>
        <v/>
      </c>
    </row>
    <row r="49">
      <c r="A49" s="10" t="n"/>
      <c r="B49" s="5" t="n"/>
      <c r="C49" s="5" t="n"/>
      <c r="D49" s="5" t="n"/>
      <c r="E49" s="5" t="n"/>
      <c r="F49" s="5" t="n"/>
      <c r="G49" s="5" t="n"/>
      <c r="H49" s="5" t="n"/>
      <c r="I49" s="19">
        <f>IF($O49=0,"",ROUND((INDEX(Servicios!$C$9:$C$38,MAX(1,$O49))+IF(INDEX(Servicios!$D$9:$D$38,MAX(1,$O49))="Sí",SUMIFS(Ajustes!$D$5:$D$18,Ajustes!$A$5:$A$18,"Largo",Ajustes!$B$5:$B$18,""&amp;$E49),0)+IF(INDEX(Servicios!$E$9:$E$38,MAX(1,$O49))="Sí",SUMIFS(Ajustes!$D$5:$D$18,Ajustes!$A$5:$A$18,"Densidad",Ajustes!$B$5:$B$18,""&amp;$F49),0)+IF(INDEX(Servicios!$F$9:$F$38,MAX(1,$O49))="Sí",SUMIFS(Ajustes!$D$5:$D$18,Ajustes!$A$5:$A$18,"Estado de la fibra",Ajustes!$B$5:$B$18,""&amp;$G49),0)+IF(INDEX(Servicios!$G$9:$G$38,MAX(1,$O49))="Sí",SUMIFS(Ajustes!$D$5:$D$18,Ajustes!$A$5:$A$18,"Canas",Ajustes!$B$5:$B$18,""&amp;$H49),0))*(1+IF(INDEX(Servicios!$D$9:$D$38,MAX(1,$O49))="Sí",SUMIFS(Ajustes!$E$5:$E$18,Ajustes!$A$5:$A$18,"Largo",Ajustes!$B$5:$B$18,""&amp;$E49),0)+IF(INDEX(Servicios!$E$9:$E$38,MAX(1,$O49))="Sí",SUMIFS(Ajustes!$E$5:$E$18,Ajustes!$A$5:$A$18,"Densidad",Ajustes!$B$5:$B$18,""&amp;$F49),0)+IF(INDEX(Servicios!$F$9:$F$38,MAX(1,$O49))="Sí",SUMIFS(Ajustes!$E$5:$E$18,Ajustes!$A$5:$A$18,"Estado de la fibra",Ajustes!$B$5:$B$18,""&amp;$G49),0)+IF(INDEX(Servicios!$G$9:$G$38,MAX(1,$O49))="Sí",SUMIFS(Ajustes!$E$5:$E$18,Ajustes!$A$5:$A$18,"Canas",Ajustes!$B$5:$B$18,""&amp;$H49),0))/MAX(1,Servicios!$E$5),0)*MAX(1,Servicios!$E$5))</f>
        <v/>
      </c>
      <c r="J49" s="11" t="n"/>
      <c r="K49" s="19">
        <f>IF(OR(I49="",J49=""),"",J49-I49)</f>
        <v/>
      </c>
      <c r="L49" s="20">
        <f>IF(OR(I49="",J49="",I49=0),"",J49/I49-1)</f>
        <v/>
      </c>
      <c r="M49" s="5" t="n"/>
      <c r="N49" s="5" t="n"/>
      <c r="O49" s="25">
        <f>IF($D49="",0,IFERROR(MATCH($D49,Servicios!$A$9:$A$38,0),0))</f>
        <v/>
      </c>
      <c r="P49" s="25">
        <f>IF(OR(I49="",J49=""),"",IF(ABS(J49-I49)&lt;=0.05*I49,1,0))</f>
        <v/>
      </c>
    </row>
    <row r="50">
      <c r="A50" s="10" t="n"/>
      <c r="B50" s="5" t="n"/>
      <c r="C50" s="5" t="n"/>
      <c r="D50" s="5" t="n"/>
      <c r="E50" s="5" t="n"/>
      <c r="F50" s="5" t="n"/>
      <c r="G50" s="5" t="n"/>
      <c r="H50" s="5" t="n"/>
      <c r="I50" s="19">
        <f>IF($O50=0,"",ROUND((INDEX(Servicios!$C$9:$C$38,MAX(1,$O50))+IF(INDEX(Servicios!$D$9:$D$38,MAX(1,$O50))="Sí",SUMIFS(Ajustes!$D$5:$D$18,Ajustes!$A$5:$A$18,"Largo",Ajustes!$B$5:$B$18,""&amp;$E50),0)+IF(INDEX(Servicios!$E$9:$E$38,MAX(1,$O50))="Sí",SUMIFS(Ajustes!$D$5:$D$18,Ajustes!$A$5:$A$18,"Densidad",Ajustes!$B$5:$B$18,""&amp;$F50),0)+IF(INDEX(Servicios!$F$9:$F$38,MAX(1,$O50))="Sí",SUMIFS(Ajustes!$D$5:$D$18,Ajustes!$A$5:$A$18,"Estado de la fibra",Ajustes!$B$5:$B$18,""&amp;$G50),0)+IF(INDEX(Servicios!$G$9:$G$38,MAX(1,$O50))="Sí",SUMIFS(Ajustes!$D$5:$D$18,Ajustes!$A$5:$A$18,"Canas",Ajustes!$B$5:$B$18,""&amp;$H50),0))*(1+IF(INDEX(Servicios!$D$9:$D$38,MAX(1,$O50))="Sí",SUMIFS(Ajustes!$E$5:$E$18,Ajustes!$A$5:$A$18,"Largo",Ajustes!$B$5:$B$18,""&amp;$E50),0)+IF(INDEX(Servicios!$E$9:$E$38,MAX(1,$O50))="Sí",SUMIFS(Ajustes!$E$5:$E$18,Ajustes!$A$5:$A$18,"Densidad",Ajustes!$B$5:$B$18,""&amp;$F50),0)+IF(INDEX(Servicios!$F$9:$F$38,MAX(1,$O50))="Sí",SUMIFS(Ajustes!$E$5:$E$18,Ajustes!$A$5:$A$18,"Estado de la fibra",Ajustes!$B$5:$B$18,""&amp;$G50),0)+IF(INDEX(Servicios!$G$9:$G$38,MAX(1,$O50))="Sí",SUMIFS(Ajustes!$E$5:$E$18,Ajustes!$A$5:$A$18,"Canas",Ajustes!$B$5:$B$18,""&amp;$H50),0))/MAX(1,Servicios!$E$5),0)*MAX(1,Servicios!$E$5))</f>
        <v/>
      </c>
      <c r="J50" s="11" t="n"/>
      <c r="K50" s="19">
        <f>IF(OR(I50="",J50=""),"",J50-I50)</f>
        <v/>
      </c>
      <c r="L50" s="20">
        <f>IF(OR(I50="",J50="",I50=0),"",J50/I50-1)</f>
        <v/>
      </c>
      <c r="M50" s="5" t="n"/>
      <c r="N50" s="5" t="n"/>
      <c r="O50" s="25">
        <f>IF($D50="",0,IFERROR(MATCH($D50,Servicios!$A$9:$A$38,0),0))</f>
        <v/>
      </c>
      <c r="P50" s="25">
        <f>IF(OR(I50="",J50=""),"",IF(ABS(J50-I50)&lt;=0.05*I50,1,0))</f>
        <v/>
      </c>
    </row>
    <row r="51">
      <c r="A51" s="10" t="n"/>
      <c r="B51" s="5" t="n"/>
      <c r="C51" s="5" t="n"/>
      <c r="D51" s="5" t="n"/>
      <c r="E51" s="5" t="n"/>
      <c r="F51" s="5" t="n"/>
      <c r="G51" s="5" t="n"/>
      <c r="H51" s="5" t="n"/>
      <c r="I51" s="19">
        <f>IF($O51=0,"",ROUND((INDEX(Servicios!$C$9:$C$38,MAX(1,$O51))+IF(INDEX(Servicios!$D$9:$D$38,MAX(1,$O51))="Sí",SUMIFS(Ajustes!$D$5:$D$18,Ajustes!$A$5:$A$18,"Largo",Ajustes!$B$5:$B$18,""&amp;$E51),0)+IF(INDEX(Servicios!$E$9:$E$38,MAX(1,$O51))="Sí",SUMIFS(Ajustes!$D$5:$D$18,Ajustes!$A$5:$A$18,"Densidad",Ajustes!$B$5:$B$18,""&amp;$F51),0)+IF(INDEX(Servicios!$F$9:$F$38,MAX(1,$O51))="Sí",SUMIFS(Ajustes!$D$5:$D$18,Ajustes!$A$5:$A$18,"Estado de la fibra",Ajustes!$B$5:$B$18,""&amp;$G51),0)+IF(INDEX(Servicios!$G$9:$G$38,MAX(1,$O51))="Sí",SUMIFS(Ajustes!$D$5:$D$18,Ajustes!$A$5:$A$18,"Canas",Ajustes!$B$5:$B$18,""&amp;$H51),0))*(1+IF(INDEX(Servicios!$D$9:$D$38,MAX(1,$O51))="Sí",SUMIFS(Ajustes!$E$5:$E$18,Ajustes!$A$5:$A$18,"Largo",Ajustes!$B$5:$B$18,""&amp;$E51),0)+IF(INDEX(Servicios!$E$9:$E$38,MAX(1,$O51))="Sí",SUMIFS(Ajustes!$E$5:$E$18,Ajustes!$A$5:$A$18,"Densidad",Ajustes!$B$5:$B$18,""&amp;$F51),0)+IF(INDEX(Servicios!$F$9:$F$38,MAX(1,$O51))="Sí",SUMIFS(Ajustes!$E$5:$E$18,Ajustes!$A$5:$A$18,"Estado de la fibra",Ajustes!$B$5:$B$18,""&amp;$G51),0)+IF(INDEX(Servicios!$G$9:$G$38,MAX(1,$O51))="Sí",SUMIFS(Ajustes!$E$5:$E$18,Ajustes!$A$5:$A$18,"Canas",Ajustes!$B$5:$B$18,""&amp;$H51),0))/MAX(1,Servicios!$E$5),0)*MAX(1,Servicios!$E$5))</f>
        <v/>
      </c>
      <c r="J51" s="11" t="n"/>
      <c r="K51" s="19">
        <f>IF(OR(I51="",J51=""),"",J51-I51)</f>
        <v/>
      </c>
      <c r="L51" s="20">
        <f>IF(OR(I51="",J51="",I51=0),"",J51/I51-1)</f>
        <v/>
      </c>
      <c r="M51" s="5" t="n"/>
      <c r="N51" s="5" t="n"/>
      <c r="O51" s="25">
        <f>IF($D51="",0,IFERROR(MATCH($D51,Servicios!$A$9:$A$38,0),0))</f>
        <v/>
      </c>
      <c r="P51" s="25">
        <f>IF(OR(I51="",J51=""),"",IF(ABS(J51-I51)&lt;=0.05*I51,1,0))</f>
        <v/>
      </c>
    </row>
    <row r="52">
      <c r="A52" s="10" t="n"/>
      <c r="B52" s="5" t="n"/>
      <c r="C52" s="5" t="n"/>
      <c r="D52" s="5" t="n"/>
      <c r="E52" s="5" t="n"/>
      <c r="F52" s="5" t="n"/>
      <c r="G52" s="5" t="n"/>
      <c r="H52" s="5" t="n"/>
      <c r="I52" s="19">
        <f>IF($O52=0,"",ROUND((INDEX(Servicios!$C$9:$C$38,MAX(1,$O52))+IF(INDEX(Servicios!$D$9:$D$38,MAX(1,$O52))="Sí",SUMIFS(Ajustes!$D$5:$D$18,Ajustes!$A$5:$A$18,"Largo",Ajustes!$B$5:$B$18,""&amp;$E52),0)+IF(INDEX(Servicios!$E$9:$E$38,MAX(1,$O52))="Sí",SUMIFS(Ajustes!$D$5:$D$18,Ajustes!$A$5:$A$18,"Densidad",Ajustes!$B$5:$B$18,""&amp;$F52),0)+IF(INDEX(Servicios!$F$9:$F$38,MAX(1,$O52))="Sí",SUMIFS(Ajustes!$D$5:$D$18,Ajustes!$A$5:$A$18,"Estado de la fibra",Ajustes!$B$5:$B$18,""&amp;$G52),0)+IF(INDEX(Servicios!$G$9:$G$38,MAX(1,$O52))="Sí",SUMIFS(Ajustes!$D$5:$D$18,Ajustes!$A$5:$A$18,"Canas",Ajustes!$B$5:$B$18,""&amp;$H52),0))*(1+IF(INDEX(Servicios!$D$9:$D$38,MAX(1,$O52))="Sí",SUMIFS(Ajustes!$E$5:$E$18,Ajustes!$A$5:$A$18,"Largo",Ajustes!$B$5:$B$18,""&amp;$E52),0)+IF(INDEX(Servicios!$E$9:$E$38,MAX(1,$O52))="Sí",SUMIFS(Ajustes!$E$5:$E$18,Ajustes!$A$5:$A$18,"Densidad",Ajustes!$B$5:$B$18,""&amp;$F52),0)+IF(INDEX(Servicios!$F$9:$F$38,MAX(1,$O52))="Sí",SUMIFS(Ajustes!$E$5:$E$18,Ajustes!$A$5:$A$18,"Estado de la fibra",Ajustes!$B$5:$B$18,""&amp;$G52),0)+IF(INDEX(Servicios!$G$9:$G$38,MAX(1,$O52))="Sí",SUMIFS(Ajustes!$E$5:$E$18,Ajustes!$A$5:$A$18,"Canas",Ajustes!$B$5:$B$18,""&amp;$H52),0))/MAX(1,Servicios!$E$5),0)*MAX(1,Servicios!$E$5))</f>
        <v/>
      </c>
      <c r="J52" s="11" t="n"/>
      <c r="K52" s="19">
        <f>IF(OR(I52="",J52=""),"",J52-I52)</f>
        <v/>
      </c>
      <c r="L52" s="20">
        <f>IF(OR(I52="",J52="",I52=0),"",J52/I52-1)</f>
        <v/>
      </c>
      <c r="M52" s="5" t="n"/>
      <c r="N52" s="5" t="n"/>
      <c r="O52" s="25">
        <f>IF($D52="",0,IFERROR(MATCH($D52,Servicios!$A$9:$A$38,0),0))</f>
        <v/>
      </c>
      <c r="P52" s="25">
        <f>IF(OR(I52="",J52=""),"",IF(ABS(J52-I52)&lt;=0.05*I52,1,0))</f>
        <v/>
      </c>
    </row>
    <row r="53">
      <c r="A53" s="10" t="n"/>
      <c r="B53" s="5" t="n"/>
      <c r="C53" s="5" t="n"/>
      <c r="D53" s="5" t="n"/>
      <c r="E53" s="5" t="n"/>
      <c r="F53" s="5" t="n"/>
      <c r="G53" s="5" t="n"/>
      <c r="H53" s="5" t="n"/>
      <c r="I53" s="19">
        <f>IF($O53=0,"",ROUND((INDEX(Servicios!$C$9:$C$38,MAX(1,$O53))+IF(INDEX(Servicios!$D$9:$D$38,MAX(1,$O53))="Sí",SUMIFS(Ajustes!$D$5:$D$18,Ajustes!$A$5:$A$18,"Largo",Ajustes!$B$5:$B$18,""&amp;$E53),0)+IF(INDEX(Servicios!$E$9:$E$38,MAX(1,$O53))="Sí",SUMIFS(Ajustes!$D$5:$D$18,Ajustes!$A$5:$A$18,"Densidad",Ajustes!$B$5:$B$18,""&amp;$F53),0)+IF(INDEX(Servicios!$F$9:$F$38,MAX(1,$O53))="Sí",SUMIFS(Ajustes!$D$5:$D$18,Ajustes!$A$5:$A$18,"Estado de la fibra",Ajustes!$B$5:$B$18,""&amp;$G53),0)+IF(INDEX(Servicios!$G$9:$G$38,MAX(1,$O53))="Sí",SUMIFS(Ajustes!$D$5:$D$18,Ajustes!$A$5:$A$18,"Canas",Ajustes!$B$5:$B$18,""&amp;$H53),0))*(1+IF(INDEX(Servicios!$D$9:$D$38,MAX(1,$O53))="Sí",SUMIFS(Ajustes!$E$5:$E$18,Ajustes!$A$5:$A$18,"Largo",Ajustes!$B$5:$B$18,""&amp;$E53),0)+IF(INDEX(Servicios!$E$9:$E$38,MAX(1,$O53))="Sí",SUMIFS(Ajustes!$E$5:$E$18,Ajustes!$A$5:$A$18,"Densidad",Ajustes!$B$5:$B$18,""&amp;$F53),0)+IF(INDEX(Servicios!$F$9:$F$38,MAX(1,$O53))="Sí",SUMIFS(Ajustes!$E$5:$E$18,Ajustes!$A$5:$A$18,"Estado de la fibra",Ajustes!$B$5:$B$18,""&amp;$G53),0)+IF(INDEX(Servicios!$G$9:$G$38,MAX(1,$O53))="Sí",SUMIFS(Ajustes!$E$5:$E$18,Ajustes!$A$5:$A$18,"Canas",Ajustes!$B$5:$B$18,""&amp;$H53),0))/MAX(1,Servicios!$E$5),0)*MAX(1,Servicios!$E$5))</f>
        <v/>
      </c>
      <c r="J53" s="11" t="n"/>
      <c r="K53" s="19">
        <f>IF(OR(I53="",J53=""),"",J53-I53)</f>
        <v/>
      </c>
      <c r="L53" s="20">
        <f>IF(OR(I53="",J53="",I53=0),"",J53/I53-1)</f>
        <v/>
      </c>
      <c r="M53" s="5" t="n"/>
      <c r="N53" s="5" t="n"/>
      <c r="O53" s="25">
        <f>IF($D53="",0,IFERROR(MATCH($D53,Servicios!$A$9:$A$38,0),0))</f>
        <v/>
      </c>
      <c r="P53" s="25">
        <f>IF(OR(I53="",J53=""),"",IF(ABS(J53-I53)&lt;=0.05*I53,1,0))</f>
        <v/>
      </c>
    </row>
    <row r="54">
      <c r="A54" s="10" t="n"/>
      <c r="B54" s="5" t="n"/>
      <c r="C54" s="5" t="n"/>
      <c r="D54" s="5" t="n"/>
      <c r="E54" s="5" t="n"/>
      <c r="F54" s="5" t="n"/>
      <c r="G54" s="5" t="n"/>
      <c r="H54" s="5" t="n"/>
      <c r="I54" s="19">
        <f>IF($O54=0,"",ROUND((INDEX(Servicios!$C$9:$C$38,MAX(1,$O54))+IF(INDEX(Servicios!$D$9:$D$38,MAX(1,$O54))="Sí",SUMIFS(Ajustes!$D$5:$D$18,Ajustes!$A$5:$A$18,"Largo",Ajustes!$B$5:$B$18,""&amp;$E54),0)+IF(INDEX(Servicios!$E$9:$E$38,MAX(1,$O54))="Sí",SUMIFS(Ajustes!$D$5:$D$18,Ajustes!$A$5:$A$18,"Densidad",Ajustes!$B$5:$B$18,""&amp;$F54),0)+IF(INDEX(Servicios!$F$9:$F$38,MAX(1,$O54))="Sí",SUMIFS(Ajustes!$D$5:$D$18,Ajustes!$A$5:$A$18,"Estado de la fibra",Ajustes!$B$5:$B$18,""&amp;$G54),0)+IF(INDEX(Servicios!$G$9:$G$38,MAX(1,$O54))="Sí",SUMIFS(Ajustes!$D$5:$D$18,Ajustes!$A$5:$A$18,"Canas",Ajustes!$B$5:$B$18,""&amp;$H54),0))*(1+IF(INDEX(Servicios!$D$9:$D$38,MAX(1,$O54))="Sí",SUMIFS(Ajustes!$E$5:$E$18,Ajustes!$A$5:$A$18,"Largo",Ajustes!$B$5:$B$18,""&amp;$E54),0)+IF(INDEX(Servicios!$E$9:$E$38,MAX(1,$O54))="Sí",SUMIFS(Ajustes!$E$5:$E$18,Ajustes!$A$5:$A$18,"Densidad",Ajustes!$B$5:$B$18,""&amp;$F54),0)+IF(INDEX(Servicios!$F$9:$F$38,MAX(1,$O54))="Sí",SUMIFS(Ajustes!$E$5:$E$18,Ajustes!$A$5:$A$18,"Estado de la fibra",Ajustes!$B$5:$B$18,""&amp;$G54),0)+IF(INDEX(Servicios!$G$9:$G$38,MAX(1,$O54))="Sí",SUMIFS(Ajustes!$E$5:$E$18,Ajustes!$A$5:$A$18,"Canas",Ajustes!$B$5:$B$18,""&amp;$H54),0))/MAX(1,Servicios!$E$5),0)*MAX(1,Servicios!$E$5))</f>
        <v/>
      </c>
      <c r="J54" s="11" t="n"/>
      <c r="K54" s="19">
        <f>IF(OR(I54="",J54=""),"",J54-I54)</f>
        <v/>
      </c>
      <c r="L54" s="20">
        <f>IF(OR(I54="",J54="",I54=0),"",J54/I54-1)</f>
        <v/>
      </c>
      <c r="M54" s="5" t="n"/>
      <c r="N54" s="5" t="n"/>
      <c r="O54" s="25">
        <f>IF($D54="",0,IFERROR(MATCH($D54,Servicios!$A$9:$A$38,0),0))</f>
        <v/>
      </c>
      <c r="P54" s="25">
        <f>IF(OR(I54="",J54=""),"",IF(ABS(J54-I54)&lt;=0.05*I54,1,0))</f>
        <v/>
      </c>
    </row>
    <row r="55">
      <c r="A55" s="10" t="n"/>
      <c r="B55" s="5" t="n"/>
      <c r="C55" s="5" t="n"/>
      <c r="D55" s="5" t="n"/>
      <c r="E55" s="5" t="n"/>
      <c r="F55" s="5" t="n"/>
      <c r="G55" s="5" t="n"/>
      <c r="H55" s="5" t="n"/>
      <c r="I55" s="19">
        <f>IF($O55=0,"",ROUND((INDEX(Servicios!$C$9:$C$38,MAX(1,$O55))+IF(INDEX(Servicios!$D$9:$D$38,MAX(1,$O55))="Sí",SUMIFS(Ajustes!$D$5:$D$18,Ajustes!$A$5:$A$18,"Largo",Ajustes!$B$5:$B$18,""&amp;$E55),0)+IF(INDEX(Servicios!$E$9:$E$38,MAX(1,$O55))="Sí",SUMIFS(Ajustes!$D$5:$D$18,Ajustes!$A$5:$A$18,"Densidad",Ajustes!$B$5:$B$18,""&amp;$F55),0)+IF(INDEX(Servicios!$F$9:$F$38,MAX(1,$O55))="Sí",SUMIFS(Ajustes!$D$5:$D$18,Ajustes!$A$5:$A$18,"Estado de la fibra",Ajustes!$B$5:$B$18,""&amp;$G55),0)+IF(INDEX(Servicios!$G$9:$G$38,MAX(1,$O55))="Sí",SUMIFS(Ajustes!$D$5:$D$18,Ajustes!$A$5:$A$18,"Canas",Ajustes!$B$5:$B$18,""&amp;$H55),0))*(1+IF(INDEX(Servicios!$D$9:$D$38,MAX(1,$O55))="Sí",SUMIFS(Ajustes!$E$5:$E$18,Ajustes!$A$5:$A$18,"Largo",Ajustes!$B$5:$B$18,""&amp;$E55),0)+IF(INDEX(Servicios!$E$9:$E$38,MAX(1,$O55))="Sí",SUMIFS(Ajustes!$E$5:$E$18,Ajustes!$A$5:$A$18,"Densidad",Ajustes!$B$5:$B$18,""&amp;$F55),0)+IF(INDEX(Servicios!$F$9:$F$38,MAX(1,$O55))="Sí",SUMIFS(Ajustes!$E$5:$E$18,Ajustes!$A$5:$A$18,"Estado de la fibra",Ajustes!$B$5:$B$18,""&amp;$G55),0)+IF(INDEX(Servicios!$G$9:$G$38,MAX(1,$O55))="Sí",SUMIFS(Ajustes!$E$5:$E$18,Ajustes!$A$5:$A$18,"Canas",Ajustes!$B$5:$B$18,""&amp;$H55),0))/MAX(1,Servicios!$E$5),0)*MAX(1,Servicios!$E$5))</f>
        <v/>
      </c>
      <c r="J55" s="11" t="n"/>
      <c r="K55" s="19">
        <f>IF(OR(I55="",J55=""),"",J55-I55)</f>
        <v/>
      </c>
      <c r="L55" s="20">
        <f>IF(OR(I55="",J55="",I55=0),"",J55/I55-1)</f>
        <v/>
      </c>
      <c r="M55" s="5" t="n"/>
      <c r="N55" s="5" t="n"/>
      <c r="O55" s="25">
        <f>IF($D55="",0,IFERROR(MATCH($D55,Servicios!$A$9:$A$38,0),0))</f>
        <v/>
      </c>
      <c r="P55" s="25">
        <f>IF(OR(I55="",J55=""),"",IF(ABS(J55-I55)&lt;=0.05*I55,1,0))</f>
        <v/>
      </c>
    </row>
    <row r="56">
      <c r="A56" s="10" t="n"/>
      <c r="B56" s="5" t="n"/>
      <c r="C56" s="5" t="n"/>
      <c r="D56" s="5" t="n"/>
      <c r="E56" s="5" t="n"/>
      <c r="F56" s="5" t="n"/>
      <c r="G56" s="5" t="n"/>
      <c r="H56" s="5" t="n"/>
      <c r="I56" s="19">
        <f>IF($O56=0,"",ROUND((INDEX(Servicios!$C$9:$C$38,MAX(1,$O56))+IF(INDEX(Servicios!$D$9:$D$38,MAX(1,$O56))="Sí",SUMIFS(Ajustes!$D$5:$D$18,Ajustes!$A$5:$A$18,"Largo",Ajustes!$B$5:$B$18,""&amp;$E56),0)+IF(INDEX(Servicios!$E$9:$E$38,MAX(1,$O56))="Sí",SUMIFS(Ajustes!$D$5:$D$18,Ajustes!$A$5:$A$18,"Densidad",Ajustes!$B$5:$B$18,""&amp;$F56),0)+IF(INDEX(Servicios!$F$9:$F$38,MAX(1,$O56))="Sí",SUMIFS(Ajustes!$D$5:$D$18,Ajustes!$A$5:$A$18,"Estado de la fibra",Ajustes!$B$5:$B$18,""&amp;$G56),0)+IF(INDEX(Servicios!$G$9:$G$38,MAX(1,$O56))="Sí",SUMIFS(Ajustes!$D$5:$D$18,Ajustes!$A$5:$A$18,"Canas",Ajustes!$B$5:$B$18,""&amp;$H56),0))*(1+IF(INDEX(Servicios!$D$9:$D$38,MAX(1,$O56))="Sí",SUMIFS(Ajustes!$E$5:$E$18,Ajustes!$A$5:$A$18,"Largo",Ajustes!$B$5:$B$18,""&amp;$E56),0)+IF(INDEX(Servicios!$E$9:$E$38,MAX(1,$O56))="Sí",SUMIFS(Ajustes!$E$5:$E$18,Ajustes!$A$5:$A$18,"Densidad",Ajustes!$B$5:$B$18,""&amp;$F56),0)+IF(INDEX(Servicios!$F$9:$F$38,MAX(1,$O56))="Sí",SUMIFS(Ajustes!$E$5:$E$18,Ajustes!$A$5:$A$18,"Estado de la fibra",Ajustes!$B$5:$B$18,""&amp;$G56),0)+IF(INDEX(Servicios!$G$9:$G$38,MAX(1,$O56))="Sí",SUMIFS(Ajustes!$E$5:$E$18,Ajustes!$A$5:$A$18,"Canas",Ajustes!$B$5:$B$18,""&amp;$H56),0))/MAX(1,Servicios!$E$5),0)*MAX(1,Servicios!$E$5))</f>
        <v/>
      </c>
      <c r="J56" s="11" t="n"/>
      <c r="K56" s="19">
        <f>IF(OR(I56="",J56=""),"",J56-I56)</f>
        <v/>
      </c>
      <c r="L56" s="20">
        <f>IF(OR(I56="",J56="",I56=0),"",J56/I56-1)</f>
        <v/>
      </c>
      <c r="M56" s="5" t="n"/>
      <c r="N56" s="5" t="n"/>
      <c r="O56" s="25">
        <f>IF($D56="",0,IFERROR(MATCH($D56,Servicios!$A$9:$A$38,0),0))</f>
        <v/>
      </c>
      <c r="P56" s="25">
        <f>IF(OR(I56="",J56=""),"",IF(ABS(J56-I56)&lt;=0.05*I56,1,0))</f>
        <v/>
      </c>
    </row>
    <row r="57">
      <c r="A57" s="10" t="n"/>
      <c r="B57" s="5" t="n"/>
      <c r="C57" s="5" t="n"/>
      <c r="D57" s="5" t="n"/>
      <c r="E57" s="5" t="n"/>
      <c r="F57" s="5" t="n"/>
      <c r="G57" s="5" t="n"/>
      <c r="H57" s="5" t="n"/>
      <c r="I57" s="19">
        <f>IF($O57=0,"",ROUND((INDEX(Servicios!$C$9:$C$38,MAX(1,$O57))+IF(INDEX(Servicios!$D$9:$D$38,MAX(1,$O57))="Sí",SUMIFS(Ajustes!$D$5:$D$18,Ajustes!$A$5:$A$18,"Largo",Ajustes!$B$5:$B$18,""&amp;$E57),0)+IF(INDEX(Servicios!$E$9:$E$38,MAX(1,$O57))="Sí",SUMIFS(Ajustes!$D$5:$D$18,Ajustes!$A$5:$A$18,"Densidad",Ajustes!$B$5:$B$18,""&amp;$F57),0)+IF(INDEX(Servicios!$F$9:$F$38,MAX(1,$O57))="Sí",SUMIFS(Ajustes!$D$5:$D$18,Ajustes!$A$5:$A$18,"Estado de la fibra",Ajustes!$B$5:$B$18,""&amp;$G57),0)+IF(INDEX(Servicios!$G$9:$G$38,MAX(1,$O57))="Sí",SUMIFS(Ajustes!$D$5:$D$18,Ajustes!$A$5:$A$18,"Canas",Ajustes!$B$5:$B$18,""&amp;$H57),0))*(1+IF(INDEX(Servicios!$D$9:$D$38,MAX(1,$O57))="Sí",SUMIFS(Ajustes!$E$5:$E$18,Ajustes!$A$5:$A$18,"Largo",Ajustes!$B$5:$B$18,""&amp;$E57),0)+IF(INDEX(Servicios!$E$9:$E$38,MAX(1,$O57))="Sí",SUMIFS(Ajustes!$E$5:$E$18,Ajustes!$A$5:$A$18,"Densidad",Ajustes!$B$5:$B$18,""&amp;$F57),0)+IF(INDEX(Servicios!$F$9:$F$38,MAX(1,$O57))="Sí",SUMIFS(Ajustes!$E$5:$E$18,Ajustes!$A$5:$A$18,"Estado de la fibra",Ajustes!$B$5:$B$18,""&amp;$G57),0)+IF(INDEX(Servicios!$G$9:$G$38,MAX(1,$O57))="Sí",SUMIFS(Ajustes!$E$5:$E$18,Ajustes!$A$5:$A$18,"Canas",Ajustes!$B$5:$B$18,""&amp;$H57),0))/MAX(1,Servicios!$E$5),0)*MAX(1,Servicios!$E$5))</f>
        <v/>
      </c>
      <c r="J57" s="11" t="n"/>
      <c r="K57" s="19">
        <f>IF(OR(I57="",J57=""),"",J57-I57)</f>
        <v/>
      </c>
      <c r="L57" s="20">
        <f>IF(OR(I57="",J57="",I57=0),"",J57/I57-1)</f>
        <v/>
      </c>
      <c r="M57" s="5" t="n"/>
      <c r="N57" s="5" t="n"/>
      <c r="O57" s="25">
        <f>IF($D57="",0,IFERROR(MATCH($D57,Servicios!$A$9:$A$38,0),0))</f>
        <v/>
      </c>
      <c r="P57" s="25">
        <f>IF(OR(I57="",J57=""),"",IF(ABS(J57-I57)&lt;=0.05*I57,1,0))</f>
        <v/>
      </c>
    </row>
    <row r="58">
      <c r="A58" s="10" t="n"/>
      <c r="B58" s="5" t="n"/>
      <c r="C58" s="5" t="n"/>
      <c r="D58" s="5" t="n"/>
      <c r="E58" s="5" t="n"/>
      <c r="F58" s="5" t="n"/>
      <c r="G58" s="5" t="n"/>
      <c r="H58" s="5" t="n"/>
      <c r="I58" s="19">
        <f>IF($O58=0,"",ROUND((INDEX(Servicios!$C$9:$C$38,MAX(1,$O58))+IF(INDEX(Servicios!$D$9:$D$38,MAX(1,$O58))="Sí",SUMIFS(Ajustes!$D$5:$D$18,Ajustes!$A$5:$A$18,"Largo",Ajustes!$B$5:$B$18,""&amp;$E58),0)+IF(INDEX(Servicios!$E$9:$E$38,MAX(1,$O58))="Sí",SUMIFS(Ajustes!$D$5:$D$18,Ajustes!$A$5:$A$18,"Densidad",Ajustes!$B$5:$B$18,""&amp;$F58),0)+IF(INDEX(Servicios!$F$9:$F$38,MAX(1,$O58))="Sí",SUMIFS(Ajustes!$D$5:$D$18,Ajustes!$A$5:$A$18,"Estado de la fibra",Ajustes!$B$5:$B$18,""&amp;$G58),0)+IF(INDEX(Servicios!$G$9:$G$38,MAX(1,$O58))="Sí",SUMIFS(Ajustes!$D$5:$D$18,Ajustes!$A$5:$A$18,"Canas",Ajustes!$B$5:$B$18,""&amp;$H58),0))*(1+IF(INDEX(Servicios!$D$9:$D$38,MAX(1,$O58))="Sí",SUMIFS(Ajustes!$E$5:$E$18,Ajustes!$A$5:$A$18,"Largo",Ajustes!$B$5:$B$18,""&amp;$E58),0)+IF(INDEX(Servicios!$E$9:$E$38,MAX(1,$O58))="Sí",SUMIFS(Ajustes!$E$5:$E$18,Ajustes!$A$5:$A$18,"Densidad",Ajustes!$B$5:$B$18,""&amp;$F58),0)+IF(INDEX(Servicios!$F$9:$F$38,MAX(1,$O58))="Sí",SUMIFS(Ajustes!$E$5:$E$18,Ajustes!$A$5:$A$18,"Estado de la fibra",Ajustes!$B$5:$B$18,""&amp;$G58),0)+IF(INDEX(Servicios!$G$9:$G$38,MAX(1,$O58))="Sí",SUMIFS(Ajustes!$E$5:$E$18,Ajustes!$A$5:$A$18,"Canas",Ajustes!$B$5:$B$18,""&amp;$H58),0))/MAX(1,Servicios!$E$5),0)*MAX(1,Servicios!$E$5))</f>
        <v/>
      </c>
      <c r="J58" s="11" t="n"/>
      <c r="K58" s="19">
        <f>IF(OR(I58="",J58=""),"",J58-I58)</f>
        <v/>
      </c>
      <c r="L58" s="20">
        <f>IF(OR(I58="",J58="",I58=0),"",J58/I58-1)</f>
        <v/>
      </c>
      <c r="M58" s="5" t="n"/>
      <c r="N58" s="5" t="n"/>
      <c r="O58" s="25">
        <f>IF($D58="",0,IFERROR(MATCH($D58,Servicios!$A$9:$A$38,0),0))</f>
        <v/>
      </c>
      <c r="P58" s="25">
        <f>IF(OR(I58="",J58=""),"",IF(ABS(J58-I58)&lt;=0.05*I58,1,0))</f>
        <v/>
      </c>
    </row>
    <row r="59">
      <c r="A59" s="10" t="n"/>
      <c r="B59" s="5" t="n"/>
      <c r="C59" s="5" t="n"/>
      <c r="D59" s="5" t="n"/>
      <c r="E59" s="5" t="n"/>
      <c r="F59" s="5" t="n"/>
      <c r="G59" s="5" t="n"/>
      <c r="H59" s="5" t="n"/>
      <c r="I59" s="19">
        <f>IF($O59=0,"",ROUND((INDEX(Servicios!$C$9:$C$38,MAX(1,$O59))+IF(INDEX(Servicios!$D$9:$D$38,MAX(1,$O59))="Sí",SUMIFS(Ajustes!$D$5:$D$18,Ajustes!$A$5:$A$18,"Largo",Ajustes!$B$5:$B$18,""&amp;$E59),0)+IF(INDEX(Servicios!$E$9:$E$38,MAX(1,$O59))="Sí",SUMIFS(Ajustes!$D$5:$D$18,Ajustes!$A$5:$A$18,"Densidad",Ajustes!$B$5:$B$18,""&amp;$F59),0)+IF(INDEX(Servicios!$F$9:$F$38,MAX(1,$O59))="Sí",SUMIFS(Ajustes!$D$5:$D$18,Ajustes!$A$5:$A$18,"Estado de la fibra",Ajustes!$B$5:$B$18,""&amp;$G59),0)+IF(INDEX(Servicios!$G$9:$G$38,MAX(1,$O59))="Sí",SUMIFS(Ajustes!$D$5:$D$18,Ajustes!$A$5:$A$18,"Canas",Ajustes!$B$5:$B$18,""&amp;$H59),0))*(1+IF(INDEX(Servicios!$D$9:$D$38,MAX(1,$O59))="Sí",SUMIFS(Ajustes!$E$5:$E$18,Ajustes!$A$5:$A$18,"Largo",Ajustes!$B$5:$B$18,""&amp;$E59),0)+IF(INDEX(Servicios!$E$9:$E$38,MAX(1,$O59))="Sí",SUMIFS(Ajustes!$E$5:$E$18,Ajustes!$A$5:$A$18,"Densidad",Ajustes!$B$5:$B$18,""&amp;$F59),0)+IF(INDEX(Servicios!$F$9:$F$38,MAX(1,$O59))="Sí",SUMIFS(Ajustes!$E$5:$E$18,Ajustes!$A$5:$A$18,"Estado de la fibra",Ajustes!$B$5:$B$18,""&amp;$G59),0)+IF(INDEX(Servicios!$G$9:$G$38,MAX(1,$O59))="Sí",SUMIFS(Ajustes!$E$5:$E$18,Ajustes!$A$5:$A$18,"Canas",Ajustes!$B$5:$B$18,""&amp;$H59),0))/MAX(1,Servicios!$E$5),0)*MAX(1,Servicios!$E$5))</f>
        <v/>
      </c>
      <c r="J59" s="11" t="n"/>
      <c r="K59" s="19">
        <f>IF(OR(I59="",J59=""),"",J59-I59)</f>
        <v/>
      </c>
      <c r="L59" s="20">
        <f>IF(OR(I59="",J59="",I59=0),"",J59/I59-1)</f>
        <v/>
      </c>
      <c r="M59" s="5" t="n"/>
      <c r="N59" s="5" t="n"/>
      <c r="O59" s="25">
        <f>IF($D59="",0,IFERROR(MATCH($D59,Servicios!$A$9:$A$38,0),0))</f>
        <v/>
      </c>
      <c r="P59" s="25">
        <f>IF(OR(I59="",J59=""),"",IF(ABS(J59-I59)&lt;=0.05*I59,1,0))</f>
        <v/>
      </c>
    </row>
    <row r="60">
      <c r="A60" s="10" t="n"/>
      <c r="B60" s="5" t="n"/>
      <c r="C60" s="5" t="n"/>
      <c r="D60" s="5" t="n"/>
      <c r="E60" s="5" t="n"/>
      <c r="F60" s="5" t="n"/>
      <c r="G60" s="5" t="n"/>
      <c r="H60" s="5" t="n"/>
      <c r="I60" s="19">
        <f>IF($O60=0,"",ROUND((INDEX(Servicios!$C$9:$C$38,MAX(1,$O60))+IF(INDEX(Servicios!$D$9:$D$38,MAX(1,$O60))="Sí",SUMIFS(Ajustes!$D$5:$D$18,Ajustes!$A$5:$A$18,"Largo",Ajustes!$B$5:$B$18,""&amp;$E60),0)+IF(INDEX(Servicios!$E$9:$E$38,MAX(1,$O60))="Sí",SUMIFS(Ajustes!$D$5:$D$18,Ajustes!$A$5:$A$18,"Densidad",Ajustes!$B$5:$B$18,""&amp;$F60),0)+IF(INDEX(Servicios!$F$9:$F$38,MAX(1,$O60))="Sí",SUMIFS(Ajustes!$D$5:$D$18,Ajustes!$A$5:$A$18,"Estado de la fibra",Ajustes!$B$5:$B$18,""&amp;$G60),0)+IF(INDEX(Servicios!$G$9:$G$38,MAX(1,$O60))="Sí",SUMIFS(Ajustes!$D$5:$D$18,Ajustes!$A$5:$A$18,"Canas",Ajustes!$B$5:$B$18,""&amp;$H60),0))*(1+IF(INDEX(Servicios!$D$9:$D$38,MAX(1,$O60))="Sí",SUMIFS(Ajustes!$E$5:$E$18,Ajustes!$A$5:$A$18,"Largo",Ajustes!$B$5:$B$18,""&amp;$E60),0)+IF(INDEX(Servicios!$E$9:$E$38,MAX(1,$O60))="Sí",SUMIFS(Ajustes!$E$5:$E$18,Ajustes!$A$5:$A$18,"Densidad",Ajustes!$B$5:$B$18,""&amp;$F60),0)+IF(INDEX(Servicios!$F$9:$F$38,MAX(1,$O60))="Sí",SUMIFS(Ajustes!$E$5:$E$18,Ajustes!$A$5:$A$18,"Estado de la fibra",Ajustes!$B$5:$B$18,""&amp;$G60),0)+IF(INDEX(Servicios!$G$9:$G$38,MAX(1,$O60))="Sí",SUMIFS(Ajustes!$E$5:$E$18,Ajustes!$A$5:$A$18,"Canas",Ajustes!$B$5:$B$18,""&amp;$H60),0))/MAX(1,Servicios!$E$5),0)*MAX(1,Servicios!$E$5))</f>
        <v/>
      </c>
      <c r="J60" s="11" t="n"/>
      <c r="K60" s="19">
        <f>IF(OR(I60="",J60=""),"",J60-I60)</f>
        <v/>
      </c>
      <c r="L60" s="20">
        <f>IF(OR(I60="",J60="",I60=0),"",J60/I60-1)</f>
        <v/>
      </c>
      <c r="M60" s="5" t="n"/>
      <c r="N60" s="5" t="n"/>
      <c r="O60" s="25">
        <f>IF($D60="",0,IFERROR(MATCH($D60,Servicios!$A$9:$A$38,0),0))</f>
        <v/>
      </c>
      <c r="P60" s="25">
        <f>IF(OR(I60="",J60=""),"",IF(ABS(J60-I60)&lt;=0.05*I60,1,0))</f>
        <v/>
      </c>
    </row>
    <row r="61">
      <c r="A61" s="10" t="n"/>
      <c r="B61" s="5" t="n"/>
      <c r="C61" s="5" t="n"/>
      <c r="D61" s="5" t="n"/>
      <c r="E61" s="5" t="n"/>
      <c r="F61" s="5" t="n"/>
      <c r="G61" s="5" t="n"/>
      <c r="H61" s="5" t="n"/>
      <c r="I61" s="19">
        <f>IF($O61=0,"",ROUND((INDEX(Servicios!$C$9:$C$38,MAX(1,$O61))+IF(INDEX(Servicios!$D$9:$D$38,MAX(1,$O61))="Sí",SUMIFS(Ajustes!$D$5:$D$18,Ajustes!$A$5:$A$18,"Largo",Ajustes!$B$5:$B$18,""&amp;$E61),0)+IF(INDEX(Servicios!$E$9:$E$38,MAX(1,$O61))="Sí",SUMIFS(Ajustes!$D$5:$D$18,Ajustes!$A$5:$A$18,"Densidad",Ajustes!$B$5:$B$18,""&amp;$F61),0)+IF(INDEX(Servicios!$F$9:$F$38,MAX(1,$O61))="Sí",SUMIFS(Ajustes!$D$5:$D$18,Ajustes!$A$5:$A$18,"Estado de la fibra",Ajustes!$B$5:$B$18,""&amp;$G61),0)+IF(INDEX(Servicios!$G$9:$G$38,MAX(1,$O61))="Sí",SUMIFS(Ajustes!$D$5:$D$18,Ajustes!$A$5:$A$18,"Canas",Ajustes!$B$5:$B$18,""&amp;$H61),0))*(1+IF(INDEX(Servicios!$D$9:$D$38,MAX(1,$O61))="Sí",SUMIFS(Ajustes!$E$5:$E$18,Ajustes!$A$5:$A$18,"Largo",Ajustes!$B$5:$B$18,""&amp;$E61),0)+IF(INDEX(Servicios!$E$9:$E$38,MAX(1,$O61))="Sí",SUMIFS(Ajustes!$E$5:$E$18,Ajustes!$A$5:$A$18,"Densidad",Ajustes!$B$5:$B$18,""&amp;$F61),0)+IF(INDEX(Servicios!$F$9:$F$38,MAX(1,$O61))="Sí",SUMIFS(Ajustes!$E$5:$E$18,Ajustes!$A$5:$A$18,"Estado de la fibra",Ajustes!$B$5:$B$18,""&amp;$G61),0)+IF(INDEX(Servicios!$G$9:$G$38,MAX(1,$O61))="Sí",SUMIFS(Ajustes!$E$5:$E$18,Ajustes!$A$5:$A$18,"Canas",Ajustes!$B$5:$B$18,""&amp;$H61),0))/MAX(1,Servicios!$E$5),0)*MAX(1,Servicios!$E$5))</f>
        <v/>
      </c>
      <c r="J61" s="11" t="n"/>
      <c r="K61" s="19">
        <f>IF(OR(I61="",J61=""),"",J61-I61)</f>
        <v/>
      </c>
      <c r="L61" s="20">
        <f>IF(OR(I61="",J61="",I61=0),"",J61/I61-1)</f>
        <v/>
      </c>
      <c r="M61" s="5" t="n"/>
      <c r="N61" s="5" t="n"/>
      <c r="O61" s="25">
        <f>IF($D61="",0,IFERROR(MATCH($D61,Servicios!$A$9:$A$38,0),0))</f>
        <v/>
      </c>
      <c r="P61" s="25">
        <f>IF(OR(I61="",J61=""),"",IF(ABS(J61-I61)&lt;=0.05*I61,1,0))</f>
        <v/>
      </c>
    </row>
    <row r="62">
      <c r="A62" s="10" t="n"/>
      <c r="B62" s="5" t="n"/>
      <c r="C62" s="5" t="n"/>
      <c r="D62" s="5" t="n"/>
      <c r="E62" s="5" t="n"/>
      <c r="F62" s="5" t="n"/>
      <c r="G62" s="5" t="n"/>
      <c r="H62" s="5" t="n"/>
      <c r="I62" s="19">
        <f>IF($O62=0,"",ROUND((INDEX(Servicios!$C$9:$C$38,MAX(1,$O62))+IF(INDEX(Servicios!$D$9:$D$38,MAX(1,$O62))="Sí",SUMIFS(Ajustes!$D$5:$D$18,Ajustes!$A$5:$A$18,"Largo",Ajustes!$B$5:$B$18,""&amp;$E62),0)+IF(INDEX(Servicios!$E$9:$E$38,MAX(1,$O62))="Sí",SUMIFS(Ajustes!$D$5:$D$18,Ajustes!$A$5:$A$18,"Densidad",Ajustes!$B$5:$B$18,""&amp;$F62),0)+IF(INDEX(Servicios!$F$9:$F$38,MAX(1,$O62))="Sí",SUMIFS(Ajustes!$D$5:$D$18,Ajustes!$A$5:$A$18,"Estado de la fibra",Ajustes!$B$5:$B$18,""&amp;$G62),0)+IF(INDEX(Servicios!$G$9:$G$38,MAX(1,$O62))="Sí",SUMIFS(Ajustes!$D$5:$D$18,Ajustes!$A$5:$A$18,"Canas",Ajustes!$B$5:$B$18,""&amp;$H62),0))*(1+IF(INDEX(Servicios!$D$9:$D$38,MAX(1,$O62))="Sí",SUMIFS(Ajustes!$E$5:$E$18,Ajustes!$A$5:$A$18,"Largo",Ajustes!$B$5:$B$18,""&amp;$E62),0)+IF(INDEX(Servicios!$E$9:$E$38,MAX(1,$O62))="Sí",SUMIFS(Ajustes!$E$5:$E$18,Ajustes!$A$5:$A$18,"Densidad",Ajustes!$B$5:$B$18,""&amp;$F62),0)+IF(INDEX(Servicios!$F$9:$F$38,MAX(1,$O62))="Sí",SUMIFS(Ajustes!$E$5:$E$18,Ajustes!$A$5:$A$18,"Estado de la fibra",Ajustes!$B$5:$B$18,""&amp;$G62),0)+IF(INDEX(Servicios!$G$9:$G$38,MAX(1,$O62))="Sí",SUMIFS(Ajustes!$E$5:$E$18,Ajustes!$A$5:$A$18,"Canas",Ajustes!$B$5:$B$18,""&amp;$H62),0))/MAX(1,Servicios!$E$5),0)*MAX(1,Servicios!$E$5))</f>
        <v/>
      </c>
      <c r="J62" s="11" t="n"/>
      <c r="K62" s="19">
        <f>IF(OR(I62="",J62=""),"",J62-I62)</f>
        <v/>
      </c>
      <c r="L62" s="20">
        <f>IF(OR(I62="",J62="",I62=0),"",J62/I62-1)</f>
        <v/>
      </c>
      <c r="M62" s="5" t="n"/>
      <c r="N62" s="5" t="n"/>
      <c r="O62" s="25">
        <f>IF($D62="",0,IFERROR(MATCH($D62,Servicios!$A$9:$A$38,0),0))</f>
        <v/>
      </c>
      <c r="P62" s="25">
        <f>IF(OR(I62="",J62=""),"",IF(ABS(J62-I62)&lt;=0.05*I62,1,0))</f>
        <v/>
      </c>
    </row>
    <row r="63">
      <c r="A63" s="10" t="n"/>
      <c r="B63" s="5" t="n"/>
      <c r="C63" s="5" t="n"/>
      <c r="D63" s="5" t="n"/>
      <c r="E63" s="5" t="n"/>
      <c r="F63" s="5" t="n"/>
      <c r="G63" s="5" t="n"/>
      <c r="H63" s="5" t="n"/>
      <c r="I63" s="19">
        <f>IF($O63=0,"",ROUND((INDEX(Servicios!$C$9:$C$38,MAX(1,$O63))+IF(INDEX(Servicios!$D$9:$D$38,MAX(1,$O63))="Sí",SUMIFS(Ajustes!$D$5:$D$18,Ajustes!$A$5:$A$18,"Largo",Ajustes!$B$5:$B$18,""&amp;$E63),0)+IF(INDEX(Servicios!$E$9:$E$38,MAX(1,$O63))="Sí",SUMIFS(Ajustes!$D$5:$D$18,Ajustes!$A$5:$A$18,"Densidad",Ajustes!$B$5:$B$18,""&amp;$F63),0)+IF(INDEX(Servicios!$F$9:$F$38,MAX(1,$O63))="Sí",SUMIFS(Ajustes!$D$5:$D$18,Ajustes!$A$5:$A$18,"Estado de la fibra",Ajustes!$B$5:$B$18,""&amp;$G63),0)+IF(INDEX(Servicios!$G$9:$G$38,MAX(1,$O63))="Sí",SUMIFS(Ajustes!$D$5:$D$18,Ajustes!$A$5:$A$18,"Canas",Ajustes!$B$5:$B$18,""&amp;$H63),0))*(1+IF(INDEX(Servicios!$D$9:$D$38,MAX(1,$O63))="Sí",SUMIFS(Ajustes!$E$5:$E$18,Ajustes!$A$5:$A$18,"Largo",Ajustes!$B$5:$B$18,""&amp;$E63),0)+IF(INDEX(Servicios!$E$9:$E$38,MAX(1,$O63))="Sí",SUMIFS(Ajustes!$E$5:$E$18,Ajustes!$A$5:$A$18,"Densidad",Ajustes!$B$5:$B$18,""&amp;$F63),0)+IF(INDEX(Servicios!$F$9:$F$38,MAX(1,$O63))="Sí",SUMIFS(Ajustes!$E$5:$E$18,Ajustes!$A$5:$A$18,"Estado de la fibra",Ajustes!$B$5:$B$18,""&amp;$G63),0)+IF(INDEX(Servicios!$G$9:$G$38,MAX(1,$O63))="Sí",SUMIFS(Ajustes!$E$5:$E$18,Ajustes!$A$5:$A$18,"Canas",Ajustes!$B$5:$B$18,""&amp;$H63),0))/MAX(1,Servicios!$E$5),0)*MAX(1,Servicios!$E$5))</f>
        <v/>
      </c>
      <c r="J63" s="11" t="n"/>
      <c r="K63" s="19">
        <f>IF(OR(I63="",J63=""),"",J63-I63)</f>
        <v/>
      </c>
      <c r="L63" s="20">
        <f>IF(OR(I63="",J63="",I63=0),"",J63/I63-1)</f>
        <v/>
      </c>
      <c r="M63" s="5" t="n"/>
      <c r="N63" s="5" t="n"/>
      <c r="O63" s="25">
        <f>IF($D63="",0,IFERROR(MATCH($D63,Servicios!$A$9:$A$38,0),0))</f>
        <v/>
      </c>
      <c r="P63" s="25">
        <f>IF(OR(I63="",J63=""),"",IF(ABS(J63-I63)&lt;=0.05*I63,1,0))</f>
        <v/>
      </c>
    </row>
    <row r="64">
      <c r="A64" s="10" t="n"/>
      <c r="B64" s="5" t="n"/>
      <c r="C64" s="5" t="n"/>
      <c r="D64" s="5" t="n"/>
      <c r="E64" s="5" t="n"/>
      <c r="F64" s="5" t="n"/>
      <c r="G64" s="5" t="n"/>
      <c r="H64" s="5" t="n"/>
      <c r="I64" s="19">
        <f>IF($O64=0,"",ROUND((INDEX(Servicios!$C$9:$C$38,MAX(1,$O64))+IF(INDEX(Servicios!$D$9:$D$38,MAX(1,$O64))="Sí",SUMIFS(Ajustes!$D$5:$D$18,Ajustes!$A$5:$A$18,"Largo",Ajustes!$B$5:$B$18,""&amp;$E64),0)+IF(INDEX(Servicios!$E$9:$E$38,MAX(1,$O64))="Sí",SUMIFS(Ajustes!$D$5:$D$18,Ajustes!$A$5:$A$18,"Densidad",Ajustes!$B$5:$B$18,""&amp;$F64),0)+IF(INDEX(Servicios!$F$9:$F$38,MAX(1,$O64))="Sí",SUMIFS(Ajustes!$D$5:$D$18,Ajustes!$A$5:$A$18,"Estado de la fibra",Ajustes!$B$5:$B$18,""&amp;$G64),0)+IF(INDEX(Servicios!$G$9:$G$38,MAX(1,$O64))="Sí",SUMIFS(Ajustes!$D$5:$D$18,Ajustes!$A$5:$A$18,"Canas",Ajustes!$B$5:$B$18,""&amp;$H64),0))*(1+IF(INDEX(Servicios!$D$9:$D$38,MAX(1,$O64))="Sí",SUMIFS(Ajustes!$E$5:$E$18,Ajustes!$A$5:$A$18,"Largo",Ajustes!$B$5:$B$18,""&amp;$E64),0)+IF(INDEX(Servicios!$E$9:$E$38,MAX(1,$O64))="Sí",SUMIFS(Ajustes!$E$5:$E$18,Ajustes!$A$5:$A$18,"Densidad",Ajustes!$B$5:$B$18,""&amp;$F64),0)+IF(INDEX(Servicios!$F$9:$F$38,MAX(1,$O64))="Sí",SUMIFS(Ajustes!$E$5:$E$18,Ajustes!$A$5:$A$18,"Estado de la fibra",Ajustes!$B$5:$B$18,""&amp;$G64),0)+IF(INDEX(Servicios!$G$9:$G$38,MAX(1,$O64))="Sí",SUMIFS(Ajustes!$E$5:$E$18,Ajustes!$A$5:$A$18,"Canas",Ajustes!$B$5:$B$18,""&amp;$H64),0))/MAX(1,Servicios!$E$5),0)*MAX(1,Servicios!$E$5))</f>
        <v/>
      </c>
      <c r="J64" s="11" t="n"/>
      <c r="K64" s="19">
        <f>IF(OR(I64="",J64=""),"",J64-I64)</f>
        <v/>
      </c>
      <c r="L64" s="20">
        <f>IF(OR(I64="",J64="",I64=0),"",J64/I64-1)</f>
        <v/>
      </c>
      <c r="M64" s="5" t="n"/>
      <c r="N64" s="5" t="n"/>
      <c r="O64" s="25">
        <f>IF($D64="",0,IFERROR(MATCH($D64,Servicios!$A$9:$A$38,0),0))</f>
        <v/>
      </c>
      <c r="P64" s="25">
        <f>IF(OR(I64="",J64=""),"",IF(ABS(J64-I64)&lt;=0.05*I64,1,0))</f>
        <v/>
      </c>
    </row>
    <row r="65">
      <c r="A65" s="10" t="n"/>
      <c r="B65" s="5" t="n"/>
      <c r="C65" s="5" t="n"/>
      <c r="D65" s="5" t="n"/>
      <c r="E65" s="5" t="n"/>
      <c r="F65" s="5" t="n"/>
      <c r="G65" s="5" t="n"/>
      <c r="H65" s="5" t="n"/>
      <c r="I65" s="19">
        <f>IF($O65=0,"",ROUND((INDEX(Servicios!$C$9:$C$38,MAX(1,$O65))+IF(INDEX(Servicios!$D$9:$D$38,MAX(1,$O65))="Sí",SUMIFS(Ajustes!$D$5:$D$18,Ajustes!$A$5:$A$18,"Largo",Ajustes!$B$5:$B$18,""&amp;$E65),0)+IF(INDEX(Servicios!$E$9:$E$38,MAX(1,$O65))="Sí",SUMIFS(Ajustes!$D$5:$D$18,Ajustes!$A$5:$A$18,"Densidad",Ajustes!$B$5:$B$18,""&amp;$F65),0)+IF(INDEX(Servicios!$F$9:$F$38,MAX(1,$O65))="Sí",SUMIFS(Ajustes!$D$5:$D$18,Ajustes!$A$5:$A$18,"Estado de la fibra",Ajustes!$B$5:$B$18,""&amp;$G65),0)+IF(INDEX(Servicios!$G$9:$G$38,MAX(1,$O65))="Sí",SUMIFS(Ajustes!$D$5:$D$18,Ajustes!$A$5:$A$18,"Canas",Ajustes!$B$5:$B$18,""&amp;$H65),0))*(1+IF(INDEX(Servicios!$D$9:$D$38,MAX(1,$O65))="Sí",SUMIFS(Ajustes!$E$5:$E$18,Ajustes!$A$5:$A$18,"Largo",Ajustes!$B$5:$B$18,""&amp;$E65),0)+IF(INDEX(Servicios!$E$9:$E$38,MAX(1,$O65))="Sí",SUMIFS(Ajustes!$E$5:$E$18,Ajustes!$A$5:$A$18,"Densidad",Ajustes!$B$5:$B$18,""&amp;$F65),0)+IF(INDEX(Servicios!$F$9:$F$38,MAX(1,$O65))="Sí",SUMIFS(Ajustes!$E$5:$E$18,Ajustes!$A$5:$A$18,"Estado de la fibra",Ajustes!$B$5:$B$18,""&amp;$G65),0)+IF(INDEX(Servicios!$G$9:$G$38,MAX(1,$O65))="Sí",SUMIFS(Ajustes!$E$5:$E$18,Ajustes!$A$5:$A$18,"Canas",Ajustes!$B$5:$B$18,""&amp;$H65),0))/MAX(1,Servicios!$E$5),0)*MAX(1,Servicios!$E$5))</f>
        <v/>
      </c>
      <c r="J65" s="11" t="n"/>
      <c r="K65" s="19">
        <f>IF(OR(I65="",J65=""),"",J65-I65)</f>
        <v/>
      </c>
      <c r="L65" s="20">
        <f>IF(OR(I65="",J65="",I65=0),"",J65/I65-1)</f>
        <v/>
      </c>
      <c r="M65" s="5" t="n"/>
      <c r="N65" s="5" t="n"/>
      <c r="O65" s="25">
        <f>IF($D65="",0,IFERROR(MATCH($D65,Servicios!$A$9:$A$38,0),0))</f>
        <v/>
      </c>
      <c r="P65" s="25">
        <f>IF(OR(I65="",J65=""),"",IF(ABS(J65-I65)&lt;=0.05*I65,1,0))</f>
        <v/>
      </c>
    </row>
    <row r="66">
      <c r="A66" s="10" t="n"/>
      <c r="B66" s="5" t="n"/>
      <c r="C66" s="5" t="n"/>
      <c r="D66" s="5" t="n"/>
      <c r="E66" s="5" t="n"/>
      <c r="F66" s="5" t="n"/>
      <c r="G66" s="5" t="n"/>
      <c r="H66" s="5" t="n"/>
      <c r="I66" s="19">
        <f>IF($O66=0,"",ROUND((INDEX(Servicios!$C$9:$C$38,MAX(1,$O66))+IF(INDEX(Servicios!$D$9:$D$38,MAX(1,$O66))="Sí",SUMIFS(Ajustes!$D$5:$D$18,Ajustes!$A$5:$A$18,"Largo",Ajustes!$B$5:$B$18,""&amp;$E66),0)+IF(INDEX(Servicios!$E$9:$E$38,MAX(1,$O66))="Sí",SUMIFS(Ajustes!$D$5:$D$18,Ajustes!$A$5:$A$18,"Densidad",Ajustes!$B$5:$B$18,""&amp;$F66),0)+IF(INDEX(Servicios!$F$9:$F$38,MAX(1,$O66))="Sí",SUMIFS(Ajustes!$D$5:$D$18,Ajustes!$A$5:$A$18,"Estado de la fibra",Ajustes!$B$5:$B$18,""&amp;$G66),0)+IF(INDEX(Servicios!$G$9:$G$38,MAX(1,$O66))="Sí",SUMIFS(Ajustes!$D$5:$D$18,Ajustes!$A$5:$A$18,"Canas",Ajustes!$B$5:$B$18,""&amp;$H66),0))*(1+IF(INDEX(Servicios!$D$9:$D$38,MAX(1,$O66))="Sí",SUMIFS(Ajustes!$E$5:$E$18,Ajustes!$A$5:$A$18,"Largo",Ajustes!$B$5:$B$18,""&amp;$E66),0)+IF(INDEX(Servicios!$E$9:$E$38,MAX(1,$O66))="Sí",SUMIFS(Ajustes!$E$5:$E$18,Ajustes!$A$5:$A$18,"Densidad",Ajustes!$B$5:$B$18,""&amp;$F66),0)+IF(INDEX(Servicios!$F$9:$F$38,MAX(1,$O66))="Sí",SUMIFS(Ajustes!$E$5:$E$18,Ajustes!$A$5:$A$18,"Estado de la fibra",Ajustes!$B$5:$B$18,""&amp;$G66),0)+IF(INDEX(Servicios!$G$9:$G$38,MAX(1,$O66))="Sí",SUMIFS(Ajustes!$E$5:$E$18,Ajustes!$A$5:$A$18,"Canas",Ajustes!$B$5:$B$18,""&amp;$H66),0))/MAX(1,Servicios!$E$5),0)*MAX(1,Servicios!$E$5))</f>
        <v/>
      </c>
      <c r="J66" s="11" t="n"/>
      <c r="K66" s="19">
        <f>IF(OR(I66="",J66=""),"",J66-I66)</f>
        <v/>
      </c>
      <c r="L66" s="20">
        <f>IF(OR(I66="",J66="",I66=0),"",J66/I66-1)</f>
        <v/>
      </c>
      <c r="M66" s="5" t="n"/>
      <c r="N66" s="5" t="n"/>
      <c r="O66" s="25">
        <f>IF($D66="",0,IFERROR(MATCH($D66,Servicios!$A$9:$A$38,0),0))</f>
        <v/>
      </c>
      <c r="P66" s="25">
        <f>IF(OR(I66="",J66=""),"",IF(ABS(J66-I66)&lt;=0.05*I66,1,0))</f>
        <v/>
      </c>
    </row>
    <row r="67">
      <c r="A67" s="10" t="n"/>
      <c r="B67" s="5" t="n"/>
      <c r="C67" s="5" t="n"/>
      <c r="D67" s="5" t="n"/>
      <c r="E67" s="5" t="n"/>
      <c r="F67" s="5" t="n"/>
      <c r="G67" s="5" t="n"/>
      <c r="H67" s="5" t="n"/>
      <c r="I67" s="19">
        <f>IF($O67=0,"",ROUND((INDEX(Servicios!$C$9:$C$38,MAX(1,$O67))+IF(INDEX(Servicios!$D$9:$D$38,MAX(1,$O67))="Sí",SUMIFS(Ajustes!$D$5:$D$18,Ajustes!$A$5:$A$18,"Largo",Ajustes!$B$5:$B$18,""&amp;$E67),0)+IF(INDEX(Servicios!$E$9:$E$38,MAX(1,$O67))="Sí",SUMIFS(Ajustes!$D$5:$D$18,Ajustes!$A$5:$A$18,"Densidad",Ajustes!$B$5:$B$18,""&amp;$F67),0)+IF(INDEX(Servicios!$F$9:$F$38,MAX(1,$O67))="Sí",SUMIFS(Ajustes!$D$5:$D$18,Ajustes!$A$5:$A$18,"Estado de la fibra",Ajustes!$B$5:$B$18,""&amp;$G67),0)+IF(INDEX(Servicios!$G$9:$G$38,MAX(1,$O67))="Sí",SUMIFS(Ajustes!$D$5:$D$18,Ajustes!$A$5:$A$18,"Canas",Ajustes!$B$5:$B$18,""&amp;$H67),0))*(1+IF(INDEX(Servicios!$D$9:$D$38,MAX(1,$O67))="Sí",SUMIFS(Ajustes!$E$5:$E$18,Ajustes!$A$5:$A$18,"Largo",Ajustes!$B$5:$B$18,""&amp;$E67),0)+IF(INDEX(Servicios!$E$9:$E$38,MAX(1,$O67))="Sí",SUMIFS(Ajustes!$E$5:$E$18,Ajustes!$A$5:$A$18,"Densidad",Ajustes!$B$5:$B$18,""&amp;$F67),0)+IF(INDEX(Servicios!$F$9:$F$38,MAX(1,$O67))="Sí",SUMIFS(Ajustes!$E$5:$E$18,Ajustes!$A$5:$A$18,"Estado de la fibra",Ajustes!$B$5:$B$18,""&amp;$G67),0)+IF(INDEX(Servicios!$G$9:$G$38,MAX(1,$O67))="Sí",SUMIFS(Ajustes!$E$5:$E$18,Ajustes!$A$5:$A$18,"Canas",Ajustes!$B$5:$B$18,""&amp;$H67),0))/MAX(1,Servicios!$E$5),0)*MAX(1,Servicios!$E$5))</f>
        <v/>
      </c>
      <c r="J67" s="11" t="n"/>
      <c r="K67" s="19">
        <f>IF(OR(I67="",J67=""),"",J67-I67)</f>
        <v/>
      </c>
      <c r="L67" s="20">
        <f>IF(OR(I67="",J67="",I67=0),"",J67/I67-1)</f>
        <v/>
      </c>
      <c r="M67" s="5" t="n"/>
      <c r="N67" s="5" t="n"/>
      <c r="O67" s="25">
        <f>IF($D67="",0,IFERROR(MATCH($D67,Servicios!$A$9:$A$38,0),0))</f>
        <v/>
      </c>
      <c r="P67" s="25">
        <f>IF(OR(I67="",J67=""),"",IF(ABS(J67-I67)&lt;=0.05*I67,1,0))</f>
        <v/>
      </c>
    </row>
    <row r="68">
      <c r="A68" s="10" t="n"/>
      <c r="B68" s="5" t="n"/>
      <c r="C68" s="5" t="n"/>
      <c r="D68" s="5" t="n"/>
      <c r="E68" s="5" t="n"/>
      <c r="F68" s="5" t="n"/>
      <c r="G68" s="5" t="n"/>
      <c r="H68" s="5" t="n"/>
      <c r="I68" s="19">
        <f>IF($O68=0,"",ROUND((INDEX(Servicios!$C$9:$C$38,MAX(1,$O68))+IF(INDEX(Servicios!$D$9:$D$38,MAX(1,$O68))="Sí",SUMIFS(Ajustes!$D$5:$D$18,Ajustes!$A$5:$A$18,"Largo",Ajustes!$B$5:$B$18,""&amp;$E68),0)+IF(INDEX(Servicios!$E$9:$E$38,MAX(1,$O68))="Sí",SUMIFS(Ajustes!$D$5:$D$18,Ajustes!$A$5:$A$18,"Densidad",Ajustes!$B$5:$B$18,""&amp;$F68),0)+IF(INDEX(Servicios!$F$9:$F$38,MAX(1,$O68))="Sí",SUMIFS(Ajustes!$D$5:$D$18,Ajustes!$A$5:$A$18,"Estado de la fibra",Ajustes!$B$5:$B$18,""&amp;$G68),0)+IF(INDEX(Servicios!$G$9:$G$38,MAX(1,$O68))="Sí",SUMIFS(Ajustes!$D$5:$D$18,Ajustes!$A$5:$A$18,"Canas",Ajustes!$B$5:$B$18,""&amp;$H68),0))*(1+IF(INDEX(Servicios!$D$9:$D$38,MAX(1,$O68))="Sí",SUMIFS(Ajustes!$E$5:$E$18,Ajustes!$A$5:$A$18,"Largo",Ajustes!$B$5:$B$18,""&amp;$E68),0)+IF(INDEX(Servicios!$E$9:$E$38,MAX(1,$O68))="Sí",SUMIFS(Ajustes!$E$5:$E$18,Ajustes!$A$5:$A$18,"Densidad",Ajustes!$B$5:$B$18,""&amp;$F68),0)+IF(INDEX(Servicios!$F$9:$F$38,MAX(1,$O68))="Sí",SUMIFS(Ajustes!$E$5:$E$18,Ajustes!$A$5:$A$18,"Estado de la fibra",Ajustes!$B$5:$B$18,""&amp;$G68),0)+IF(INDEX(Servicios!$G$9:$G$38,MAX(1,$O68))="Sí",SUMIFS(Ajustes!$E$5:$E$18,Ajustes!$A$5:$A$18,"Canas",Ajustes!$B$5:$B$18,""&amp;$H68),0))/MAX(1,Servicios!$E$5),0)*MAX(1,Servicios!$E$5))</f>
        <v/>
      </c>
      <c r="J68" s="11" t="n"/>
      <c r="K68" s="19">
        <f>IF(OR(I68="",J68=""),"",J68-I68)</f>
        <v/>
      </c>
      <c r="L68" s="20">
        <f>IF(OR(I68="",J68="",I68=0),"",J68/I68-1)</f>
        <v/>
      </c>
      <c r="M68" s="5" t="n"/>
      <c r="N68" s="5" t="n"/>
      <c r="O68" s="25">
        <f>IF($D68="",0,IFERROR(MATCH($D68,Servicios!$A$9:$A$38,0),0))</f>
        <v/>
      </c>
      <c r="P68" s="25">
        <f>IF(OR(I68="",J68=""),"",IF(ABS(J68-I68)&lt;=0.05*I68,1,0))</f>
        <v/>
      </c>
    </row>
    <row r="69">
      <c r="A69" s="10" t="n"/>
      <c r="B69" s="5" t="n"/>
      <c r="C69" s="5" t="n"/>
      <c r="D69" s="5" t="n"/>
      <c r="E69" s="5" t="n"/>
      <c r="F69" s="5" t="n"/>
      <c r="G69" s="5" t="n"/>
      <c r="H69" s="5" t="n"/>
      <c r="I69" s="19">
        <f>IF($O69=0,"",ROUND((INDEX(Servicios!$C$9:$C$38,MAX(1,$O69))+IF(INDEX(Servicios!$D$9:$D$38,MAX(1,$O69))="Sí",SUMIFS(Ajustes!$D$5:$D$18,Ajustes!$A$5:$A$18,"Largo",Ajustes!$B$5:$B$18,""&amp;$E69),0)+IF(INDEX(Servicios!$E$9:$E$38,MAX(1,$O69))="Sí",SUMIFS(Ajustes!$D$5:$D$18,Ajustes!$A$5:$A$18,"Densidad",Ajustes!$B$5:$B$18,""&amp;$F69),0)+IF(INDEX(Servicios!$F$9:$F$38,MAX(1,$O69))="Sí",SUMIFS(Ajustes!$D$5:$D$18,Ajustes!$A$5:$A$18,"Estado de la fibra",Ajustes!$B$5:$B$18,""&amp;$G69),0)+IF(INDEX(Servicios!$G$9:$G$38,MAX(1,$O69))="Sí",SUMIFS(Ajustes!$D$5:$D$18,Ajustes!$A$5:$A$18,"Canas",Ajustes!$B$5:$B$18,""&amp;$H69),0))*(1+IF(INDEX(Servicios!$D$9:$D$38,MAX(1,$O69))="Sí",SUMIFS(Ajustes!$E$5:$E$18,Ajustes!$A$5:$A$18,"Largo",Ajustes!$B$5:$B$18,""&amp;$E69),0)+IF(INDEX(Servicios!$E$9:$E$38,MAX(1,$O69))="Sí",SUMIFS(Ajustes!$E$5:$E$18,Ajustes!$A$5:$A$18,"Densidad",Ajustes!$B$5:$B$18,""&amp;$F69),0)+IF(INDEX(Servicios!$F$9:$F$38,MAX(1,$O69))="Sí",SUMIFS(Ajustes!$E$5:$E$18,Ajustes!$A$5:$A$18,"Estado de la fibra",Ajustes!$B$5:$B$18,""&amp;$G69),0)+IF(INDEX(Servicios!$G$9:$G$38,MAX(1,$O69))="Sí",SUMIFS(Ajustes!$E$5:$E$18,Ajustes!$A$5:$A$18,"Canas",Ajustes!$B$5:$B$18,""&amp;$H69),0))/MAX(1,Servicios!$E$5),0)*MAX(1,Servicios!$E$5))</f>
        <v/>
      </c>
      <c r="J69" s="11" t="n"/>
      <c r="K69" s="19">
        <f>IF(OR(I69="",J69=""),"",J69-I69)</f>
        <v/>
      </c>
      <c r="L69" s="20">
        <f>IF(OR(I69="",J69="",I69=0),"",J69/I69-1)</f>
        <v/>
      </c>
      <c r="M69" s="5" t="n"/>
      <c r="N69" s="5" t="n"/>
      <c r="O69" s="25">
        <f>IF($D69="",0,IFERROR(MATCH($D69,Servicios!$A$9:$A$38,0),0))</f>
        <v/>
      </c>
      <c r="P69" s="25">
        <f>IF(OR(I69="",J69=""),"",IF(ABS(J69-I69)&lt;=0.05*I69,1,0))</f>
        <v/>
      </c>
    </row>
    <row r="70">
      <c r="A70" s="10" t="n"/>
      <c r="B70" s="5" t="n"/>
      <c r="C70" s="5" t="n"/>
      <c r="D70" s="5" t="n"/>
      <c r="E70" s="5" t="n"/>
      <c r="F70" s="5" t="n"/>
      <c r="G70" s="5" t="n"/>
      <c r="H70" s="5" t="n"/>
      <c r="I70" s="19">
        <f>IF($O70=0,"",ROUND((INDEX(Servicios!$C$9:$C$38,MAX(1,$O70))+IF(INDEX(Servicios!$D$9:$D$38,MAX(1,$O70))="Sí",SUMIFS(Ajustes!$D$5:$D$18,Ajustes!$A$5:$A$18,"Largo",Ajustes!$B$5:$B$18,""&amp;$E70),0)+IF(INDEX(Servicios!$E$9:$E$38,MAX(1,$O70))="Sí",SUMIFS(Ajustes!$D$5:$D$18,Ajustes!$A$5:$A$18,"Densidad",Ajustes!$B$5:$B$18,""&amp;$F70),0)+IF(INDEX(Servicios!$F$9:$F$38,MAX(1,$O70))="Sí",SUMIFS(Ajustes!$D$5:$D$18,Ajustes!$A$5:$A$18,"Estado de la fibra",Ajustes!$B$5:$B$18,""&amp;$G70),0)+IF(INDEX(Servicios!$G$9:$G$38,MAX(1,$O70))="Sí",SUMIFS(Ajustes!$D$5:$D$18,Ajustes!$A$5:$A$18,"Canas",Ajustes!$B$5:$B$18,""&amp;$H70),0))*(1+IF(INDEX(Servicios!$D$9:$D$38,MAX(1,$O70))="Sí",SUMIFS(Ajustes!$E$5:$E$18,Ajustes!$A$5:$A$18,"Largo",Ajustes!$B$5:$B$18,""&amp;$E70),0)+IF(INDEX(Servicios!$E$9:$E$38,MAX(1,$O70))="Sí",SUMIFS(Ajustes!$E$5:$E$18,Ajustes!$A$5:$A$18,"Densidad",Ajustes!$B$5:$B$18,""&amp;$F70),0)+IF(INDEX(Servicios!$F$9:$F$38,MAX(1,$O70))="Sí",SUMIFS(Ajustes!$E$5:$E$18,Ajustes!$A$5:$A$18,"Estado de la fibra",Ajustes!$B$5:$B$18,""&amp;$G70),0)+IF(INDEX(Servicios!$G$9:$G$38,MAX(1,$O70))="Sí",SUMIFS(Ajustes!$E$5:$E$18,Ajustes!$A$5:$A$18,"Canas",Ajustes!$B$5:$B$18,""&amp;$H70),0))/MAX(1,Servicios!$E$5),0)*MAX(1,Servicios!$E$5))</f>
        <v/>
      </c>
      <c r="J70" s="11" t="n"/>
      <c r="K70" s="19">
        <f>IF(OR(I70="",J70=""),"",J70-I70)</f>
        <v/>
      </c>
      <c r="L70" s="20">
        <f>IF(OR(I70="",J70="",I70=0),"",J70/I70-1)</f>
        <v/>
      </c>
      <c r="M70" s="5" t="n"/>
      <c r="N70" s="5" t="n"/>
      <c r="O70" s="25">
        <f>IF($D70="",0,IFERROR(MATCH($D70,Servicios!$A$9:$A$38,0),0))</f>
        <v/>
      </c>
      <c r="P70" s="25">
        <f>IF(OR(I70="",J70=""),"",IF(ABS(J70-I70)&lt;=0.05*I70,1,0))</f>
        <v/>
      </c>
    </row>
    <row r="71">
      <c r="A71" s="10" t="n"/>
      <c r="B71" s="5" t="n"/>
      <c r="C71" s="5" t="n"/>
      <c r="D71" s="5" t="n"/>
      <c r="E71" s="5" t="n"/>
      <c r="F71" s="5" t="n"/>
      <c r="G71" s="5" t="n"/>
      <c r="H71" s="5" t="n"/>
      <c r="I71" s="19">
        <f>IF($O71=0,"",ROUND((INDEX(Servicios!$C$9:$C$38,MAX(1,$O71))+IF(INDEX(Servicios!$D$9:$D$38,MAX(1,$O71))="Sí",SUMIFS(Ajustes!$D$5:$D$18,Ajustes!$A$5:$A$18,"Largo",Ajustes!$B$5:$B$18,""&amp;$E71),0)+IF(INDEX(Servicios!$E$9:$E$38,MAX(1,$O71))="Sí",SUMIFS(Ajustes!$D$5:$D$18,Ajustes!$A$5:$A$18,"Densidad",Ajustes!$B$5:$B$18,""&amp;$F71),0)+IF(INDEX(Servicios!$F$9:$F$38,MAX(1,$O71))="Sí",SUMIFS(Ajustes!$D$5:$D$18,Ajustes!$A$5:$A$18,"Estado de la fibra",Ajustes!$B$5:$B$18,""&amp;$G71),0)+IF(INDEX(Servicios!$G$9:$G$38,MAX(1,$O71))="Sí",SUMIFS(Ajustes!$D$5:$D$18,Ajustes!$A$5:$A$18,"Canas",Ajustes!$B$5:$B$18,""&amp;$H71),0))*(1+IF(INDEX(Servicios!$D$9:$D$38,MAX(1,$O71))="Sí",SUMIFS(Ajustes!$E$5:$E$18,Ajustes!$A$5:$A$18,"Largo",Ajustes!$B$5:$B$18,""&amp;$E71),0)+IF(INDEX(Servicios!$E$9:$E$38,MAX(1,$O71))="Sí",SUMIFS(Ajustes!$E$5:$E$18,Ajustes!$A$5:$A$18,"Densidad",Ajustes!$B$5:$B$18,""&amp;$F71),0)+IF(INDEX(Servicios!$F$9:$F$38,MAX(1,$O71))="Sí",SUMIFS(Ajustes!$E$5:$E$18,Ajustes!$A$5:$A$18,"Estado de la fibra",Ajustes!$B$5:$B$18,""&amp;$G71),0)+IF(INDEX(Servicios!$G$9:$G$38,MAX(1,$O71))="Sí",SUMIFS(Ajustes!$E$5:$E$18,Ajustes!$A$5:$A$18,"Canas",Ajustes!$B$5:$B$18,""&amp;$H71),0))/MAX(1,Servicios!$E$5),0)*MAX(1,Servicios!$E$5))</f>
        <v/>
      </c>
      <c r="J71" s="11" t="n"/>
      <c r="K71" s="19">
        <f>IF(OR(I71="",J71=""),"",J71-I71)</f>
        <v/>
      </c>
      <c r="L71" s="20">
        <f>IF(OR(I71="",J71="",I71=0),"",J71/I71-1)</f>
        <v/>
      </c>
      <c r="M71" s="5" t="n"/>
      <c r="N71" s="5" t="n"/>
      <c r="O71" s="25">
        <f>IF($D71="",0,IFERROR(MATCH($D71,Servicios!$A$9:$A$38,0),0))</f>
        <v/>
      </c>
      <c r="P71" s="25">
        <f>IF(OR(I71="",J71=""),"",IF(ABS(J71-I71)&lt;=0.05*I71,1,0))</f>
        <v/>
      </c>
    </row>
    <row r="72">
      <c r="A72" s="10" t="n"/>
      <c r="B72" s="5" t="n"/>
      <c r="C72" s="5" t="n"/>
      <c r="D72" s="5" t="n"/>
      <c r="E72" s="5" t="n"/>
      <c r="F72" s="5" t="n"/>
      <c r="G72" s="5" t="n"/>
      <c r="H72" s="5" t="n"/>
      <c r="I72" s="19">
        <f>IF($O72=0,"",ROUND((INDEX(Servicios!$C$9:$C$38,MAX(1,$O72))+IF(INDEX(Servicios!$D$9:$D$38,MAX(1,$O72))="Sí",SUMIFS(Ajustes!$D$5:$D$18,Ajustes!$A$5:$A$18,"Largo",Ajustes!$B$5:$B$18,""&amp;$E72),0)+IF(INDEX(Servicios!$E$9:$E$38,MAX(1,$O72))="Sí",SUMIFS(Ajustes!$D$5:$D$18,Ajustes!$A$5:$A$18,"Densidad",Ajustes!$B$5:$B$18,""&amp;$F72),0)+IF(INDEX(Servicios!$F$9:$F$38,MAX(1,$O72))="Sí",SUMIFS(Ajustes!$D$5:$D$18,Ajustes!$A$5:$A$18,"Estado de la fibra",Ajustes!$B$5:$B$18,""&amp;$G72),0)+IF(INDEX(Servicios!$G$9:$G$38,MAX(1,$O72))="Sí",SUMIFS(Ajustes!$D$5:$D$18,Ajustes!$A$5:$A$18,"Canas",Ajustes!$B$5:$B$18,""&amp;$H72),0))*(1+IF(INDEX(Servicios!$D$9:$D$38,MAX(1,$O72))="Sí",SUMIFS(Ajustes!$E$5:$E$18,Ajustes!$A$5:$A$18,"Largo",Ajustes!$B$5:$B$18,""&amp;$E72),0)+IF(INDEX(Servicios!$E$9:$E$38,MAX(1,$O72))="Sí",SUMIFS(Ajustes!$E$5:$E$18,Ajustes!$A$5:$A$18,"Densidad",Ajustes!$B$5:$B$18,""&amp;$F72),0)+IF(INDEX(Servicios!$F$9:$F$38,MAX(1,$O72))="Sí",SUMIFS(Ajustes!$E$5:$E$18,Ajustes!$A$5:$A$18,"Estado de la fibra",Ajustes!$B$5:$B$18,""&amp;$G72),0)+IF(INDEX(Servicios!$G$9:$G$38,MAX(1,$O72))="Sí",SUMIFS(Ajustes!$E$5:$E$18,Ajustes!$A$5:$A$18,"Canas",Ajustes!$B$5:$B$18,""&amp;$H72),0))/MAX(1,Servicios!$E$5),0)*MAX(1,Servicios!$E$5))</f>
        <v/>
      </c>
      <c r="J72" s="11" t="n"/>
      <c r="K72" s="19">
        <f>IF(OR(I72="",J72=""),"",J72-I72)</f>
        <v/>
      </c>
      <c r="L72" s="20">
        <f>IF(OR(I72="",J72="",I72=0),"",J72/I72-1)</f>
        <v/>
      </c>
      <c r="M72" s="5" t="n"/>
      <c r="N72" s="5" t="n"/>
      <c r="O72" s="25">
        <f>IF($D72="",0,IFERROR(MATCH($D72,Servicios!$A$9:$A$38,0),0))</f>
        <v/>
      </c>
      <c r="P72" s="25">
        <f>IF(OR(I72="",J72=""),"",IF(ABS(J72-I72)&lt;=0.05*I72,1,0))</f>
        <v/>
      </c>
    </row>
    <row r="73">
      <c r="A73" s="10" t="n"/>
      <c r="B73" s="5" t="n"/>
      <c r="C73" s="5" t="n"/>
      <c r="D73" s="5" t="n"/>
      <c r="E73" s="5" t="n"/>
      <c r="F73" s="5" t="n"/>
      <c r="G73" s="5" t="n"/>
      <c r="H73" s="5" t="n"/>
      <c r="I73" s="19">
        <f>IF($O73=0,"",ROUND((INDEX(Servicios!$C$9:$C$38,MAX(1,$O73))+IF(INDEX(Servicios!$D$9:$D$38,MAX(1,$O73))="Sí",SUMIFS(Ajustes!$D$5:$D$18,Ajustes!$A$5:$A$18,"Largo",Ajustes!$B$5:$B$18,""&amp;$E73),0)+IF(INDEX(Servicios!$E$9:$E$38,MAX(1,$O73))="Sí",SUMIFS(Ajustes!$D$5:$D$18,Ajustes!$A$5:$A$18,"Densidad",Ajustes!$B$5:$B$18,""&amp;$F73),0)+IF(INDEX(Servicios!$F$9:$F$38,MAX(1,$O73))="Sí",SUMIFS(Ajustes!$D$5:$D$18,Ajustes!$A$5:$A$18,"Estado de la fibra",Ajustes!$B$5:$B$18,""&amp;$G73),0)+IF(INDEX(Servicios!$G$9:$G$38,MAX(1,$O73))="Sí",SUMIFS(Ajustes!$D$5:$D$18,Ajustes!$A$5:$A$18,"Canas",Ajustes!$B$5:$B$18,""&amp;$H73),0))*(1+IF(INDEX(Servicios!$D$9:$D$38,MAX(1,$O73))="Sí",SUMIFS(Ajustes!$E$5:$E$18,Ajustes!$A$5:$A$18,"Largo",Ajustes!$B$5:$B$18,""&amp;$E73),0)+IF(INDEX(Servicios!$E$9:$E$38,MAX(1,$O73))="Sí",SUMIFS(Ajustes!$E$5:$E$18,Ajustes!$A$5:$A$18,"Densidad",Ajustes!$B$5:$B$18,""&amp;$F73),0)+IF(INDEX(Servicios!$F$9:$F$38,MAX(1,$O73))="Sí",SUMIFS(Ajustes!$E$5:$E$18,Ajustes!$A$5:$A$18,"Estado de la fibra",Ajustes!$B$5:$B$18,""&amp;$G73),0)+IF(INDEX(Servicios!$G$9:$G$38,MAX(1,$O73))="Sí",SUMIFS(Ajustes!$E$5:$E$18,Ajustes!$A$5:$A$18,"Canas",Ajustes!$B$5:$B$18,""&amp;$H73),0))/MAX(1,Servicios!$E$5),0)*MAX(1,Servicios!$E$5))</f>
        <v/>
      </c>
      <c r="J73" s="11" t="n"/>
      <c r="K73" s="19">
        <f>IF(OR(I73="",J73=""),"",J73-I73)</f>
        <v/>
      </c>
      <c r="L73" s="20">
        <f>IF(OR(I73="",J73="",I73=0),"",J73/I73-1)</f>
        <v/>
      </c>
      <c r="M73" s="5" t="n"/>
      <c r="N73" s="5" t="n"/>
      <c r="O73" s="25">
        <f>IF($D73="",0,IFERROR(MATCH($D73,Servicios!$A$9:$A$38,0),0))</f>
        <v/>
      </c>
      <c r="P73" s="25">
        <f>IF(OR(I73="",J73=""),"",IF(ABS(J73-I73)&lt;=0.05*I73,1,0))</f>
        <v/>
      </c>
    </row>
    <row r="74">
      <c r="A74" s="10" t="n"/>
      <c r="B74" s="5" t="n"/>
      <c r="C74" s="5" t="n"/>
      <c r="D74" s="5" t="n"/>
      <c r="E74" s="5" t="n"/>
      <c r="F74" s="5" t="n"/>
      <c r="G74" s="5" t="n"/>
      <c r="H74" s="5" t="n"/>
      <c r="I74" s="19">
        <f>IF($O74=0,"",ROUND((INDEX(Servicios!$C$9:$C$38,MAX(1,$O74))+IF(INDEX(Servicios!$D$9:$D$38,MAX(1,$O74))="Sí",SUMIFS(Ajustes!$D$5:$D$18,Ajustes!$A$5:$A$18,"Largo",Ajustes!$B$5:$B$18,""&amp;$E74),0)+IF(INDEX(Servicios!$E$9:$E$38,MAX(1,$O74))="Sí",SUMIFS(Ajustes!$D$5:$D$18,Ajustes!$A$5:$A$18,"Densidad",Ajustes!$B$5:$B$18,""&amp;$F74),0)+IF(INDEX(Servicios!$F$9:$F$38,MAX(1,$O74))="Sí",SUMIFS(Ajustes!$D$5:$D$18,Ajustes!$A$5:$A$18,"Estado de la fibra",Ajustes!$B$5:$B$18,""&amp;$G74),0)+IF(INDEX(Servicios!$G$9:$G$38,MAX(1,$O74))="Sí",SUMIFS(Ajustes!$D$5:$D$18,Ajustes!$A$5:$A$18,"Canas",Ajustes!$B$5:$B$18,""&amp;$H74),0))*(1+IF(INDEX(Servicios!$D$9:$D$38,MAX(1,$O74))="Sí",SUMIFS(Ajustes!$E$5:$E$18,Ajustes!$A$5:$A$18,"Largo",Ajustes!$B$5:$B$18,""&amp;$E74),0)+IF(INDEX(Servicios!$E$9:$E$38,MAX(1,$O74))="Sí",SUMIFS(Ajustes!$E$5:$E$18,Ajustes!$A$5:$A$18,"Densidad",Ajustes!$B$5:$B$18,""&amp;$F74),0)+IF(INDEX(Servicios!$F$9:$F$38,MAX(1,$O74))="Sí",SUMIFS(Ajustes!$E$5:$E$18,Ajustes!$A$5:$A$18,"Estado de la fibra",Ajustes!$B$5:$B$18,""&amp;$G74),0)+IF(INDEX(Servicios!$G$9:$G$38,MAX(1,$O74))="Sí",SUMIFS(Ajustes!$E$5:$E$18,Ajustes!$A$5:$A$18,"Canas",Ajustes!$B$5:$B$18,""&amp;$H74),0))/MAX(1,Servicios!$E$5),0)*MAX(1,Servicios!$E$5))</f>
        <v/>
      </c>
      <c r="J74" s="11" t="n"/>
      <c r="K74" s="19">
        <f>IF(OR(I74="",J74=""),"",J74-I74)</f>
        <v/>
      </c>
      <c r="L74" s="20">
        <f>IF(OR(I74="",J74="",I74=0),"",J74/I74-1)</f>
        <v/>
      </c>
      <c r="M74" s="5" t="n"/>
      <c r="N74" s="5" t="n"/>
      <c r="O74" s="25">
        <f>IF($D74="",0,IFERROR(MATCH($D74,Servicios!$A$9:$A$38,0),0))</f>
        <v/>
      </c>
      <c r="P74" s="25">
        <f>IF(OR(I74="",J74=""),"",IF(ABS(J74-I74)&lt;=0.05*I74,1,0))</f>
        <v/>
      </c>
    </row>
    <row r="75">
      <c r="A75" s="10" t="n"/>
      <c r="B75" s="5" t="n"/>
      <c r="C75" s="5" t="n"/>
      <c r="D75" s="5" t="n"/>
      <c r="E75" s="5" t="n"/>
      <c r="F75" s="5" t="n"/>
      <c r="G75" s="5" t="n"/>
      <c r="H75" s="5" t="n"/>
      <c r="I75" s="19">
        <f>IF($O75=0,"",ROUND((INDEX(Servicios!$C$9:$C$38,MAX(1,$O75))+IF(INDEX(Servicios!$D$9:$D$38,MAX(1,$O75))="Sí",SUMIFS(Ajustes!$D$5:$D$18,Ajustes!$A$5:$A$18,"Largo",Ajustes!$B$5:$B$18,""&amp;$E75),0)+IF(INDEX(Servicios!$E$9:$E$38,MAX(1,$O75))="Sí",SUMIFS(Ajustes!$D$5:$D$18,Ajustes!$A$5:$A$18,"Densidad",Ajustes!$B$5:$B$18,""&amp;$F75),0)+IF(INDEX(Servicios!$F$9:$F$38,MAX(1,$O75))="Sí",SUMIFS(Ajustes!$D$5:$D$18,Ajustes!$A$5:$A$18,"Estado de la fibra",Ajustes!$B$5:$B$18,""&amp;$G75),0)+IF(INDEX(Servicios!$G$9:$G$38,MAX(1,$O75))="Sí",SUMIFS(Ajustes!$D$5:$D$18,Ajustes!$A$5:$A$18,"Canas",Ajustes!$B$5:$B$18,""&amp;$H75),0))*(1+IF(INDEX(Servicios!$D$9:$D$38,MAX(1,$O75))="Sí",SUMIFS(Ajustes!$E$5:$E$18,Ajustes!$A$5:$A$18,"Largo",Ajustes!$B$5:$B$18,""&amp;$E75),0)+IF(INDEX(Servicios!$E$9:$E$38,MAX(1,$O75))="Sí",SUMIFS(Ajustes!$E$5:$E$18,Ajustes!$A$5:$A$18,"Densidad",Ajustes!$B$5:$B$18,""&amp;$F75),0)+IF(INDEX(Servicios!$F$9:$F$38,MAX(1,$O75))="Sí",SUMIFS(Ajustes!$E$5:$E$18,Ajustes!$A$5:$A$18,"Estado de la fibra",Ajustes!$B$5:$B$18,""&amp;$G75),0)+IF(INDEX(Servicios!$G$9:$G$38,MAX(1,$O75))="Sí",SUMIFS(Ajustes!$E$5:$E$18,Ajustes!$A$5:$A$18,"Canas",Ajustes!$B$5:$B$18,""&amp;$H75),0))/MAX(1,Servicios!$E$5),0)*MAX(1,Servicios!$E$5))</f>
        <v/>
      </c>
      <c r="J75" s="11" t="n"/>
      <c r="K75" s="19">
        <f>IF(OR(I75="",J75=""),"",J75-I75)</f>
        <v/>
      </c>
      <c r="L75" s="20">
        <f>IF(OR(I75="",J75="",I75=0),"",J75/I75-1)</f>
        <v/>
      </c>
      <c r="M75" s="5" t="n"/>
      <c r="N75" s="5" t="n"/>
      <c r="O75" s="25">
        <f>IF($D75="",0,IFERROR(MATCH($D75,Servicios!$A$9:$A$38,0),0))</f>
        <v/>
      </c>
      <c r="P75" s="25">
        <f>IF(OR(I75="",J75=""),"",IF(ABS(J75-I75)&lt;=0.05*I75,1,0))</f>
        <v/>
      </c>
    </row>
    <row r="76">
      <c r="A76" s="10" t="n"/>
      <c r="B76" s="5" t="n"/>
      <c r="C76" s="5" t="n"/>
      <c r="D76" s="5" t="n"/>
      <c r="E76" s="5" t="n"/>
      <c r="F76" s="5" t="n"/>
      <c r="G76" s="5" t="n"/>
      <c r="H76" s="5" t="n"/>
      <c r="I76" s="19">
        <f>IF($O76=0,"",ROUND((INDEX(Servicios!$C$9:$C$38,MAX(1,$O76))+IF(INDEX(Servicios!$D$9:$D$38,MAX(1,$O76))="Sí",SUMIFS(Ajustes!$D$5:$D$18,Ajustes!$A$5:$A$18,"Largo",Ajustes!$B$5:$B$18,""&amp;$E76),0)+IF(INDEX(Servicios!$E$9:$E$38,MAX(1,$O76))="Sí",SUMIFS(Ajustes!$D$5:$D$18,Ajustes!$A$5:$A$18,"Densidad",Ajustes!$B$5:$B$18,""&amp;$F76),0)+IF(INDEX(Servicios!$F$9:$F$38,MAX(1,$O76))="Sí",SUMIFS(Ajustes!$D$5:$D$18,Ajustes!$A$5:$A$18,"Estado de la fibra",Ajustes!$B$5:$B$18,""&amp;$G76),0)+IF(INDEX(Servicios!$G$9:$G$38,MAX(1,$O76))="Sí",SUMIFS(Ajustes!$D$5:$D$18,Ajustes!$A$5:$A$18,"Canas",Ajustes!$B$5:$B$18,""&amp;$H76),0))*(1+IF(INDEX(Servicios!$D$9:$D$38,MAX(1,$O76))="Sí",SUMIFS(Ajustes!$E$5:$E$18,Ajustes!$A$5:$A$18,"Largo",Ajustes!$B$5:$B$18,""&amp;$E76),0)+IF(INDEX(Servicios!$E$9:$E$38,MAX(1,$O76))="Sí",SUMIFS(Ajustes!$E$5:$E$18,Ajustes!$A$5:$A$18,"Densidad",Ajustes!$B$5:$B$18,""&amp;$F76),0)+IF(INDEX(Servicios!$F$9:$F$38,MAX(1,$O76))="Sí",SUMIFS(Ajustes!$E$5:$E$18,Ajustes!$A$5:$A$18,"Estado de la fibra",Ajustes!$B$5:$B$18,""&amp;$G76),0)+IF(INDEX(Servicios!$G$9:$G$38,MAX(1,$O76))="Sí",SUMIFS(Ajustes!$E$5:$E$18,Ajustes!$A$5:$A$18,"Canas",Ajustes!$B$5:$B$18,""&amp;$H76),0))/MAX(1,Servicios!$E$5),0)*MAX(1,Servicios!$E$5))</f>
        <v/>
      </c>
      <c r="J76" s="11" t="n"/>
      <c r="K76" s="19">
        <f>IF(OR(I76="",J76=""),"",J76-I76)</f>
        <v/>
      </c>
      <c r="L76" s="20">
        <f>IF(OR(I76="",J76="",I76=0),"",J76/I76-1)</f>
        <v/>
      </c>
      <c r="M76" s="5" t="n"/>
      <c r="N76" s="5" t="n"/>
      <c r="O76" s="25">
        <f>IF($D76="",0,IFERROR(MATCH($D76,Servicios!$A$9:$A$38,0),0))</f>
        <v/>
      </c>
      <c r="P76" s="25">
        <f>IF(OR(I76="",J76=""),"",IF(ABS(J76-I76)&lt;=0.05*I76,1,0))</f>
        <v/>
      </c>
    </row>
    <row r="77">
      <c r="A77" s="10" t="n"/>
      <c r="B77" s="5" t="n"/>
      <c r="C77" s="5" t="n"/>
      <c r="D77" s="5" t="n"/>
      <c r="E77" s="5" t="n"/>
      <c r="F77" s="5" t="n"/>
      <c r="G77" s="5" t="n"/>
      <c r="H77" s="5" t="n"/>
      <c r="I77" s="19">
        <f>IF($O77=0,"",ROUND((INDEX(Servicios!$C$9:$C$38,MAX(1,$O77))+IF(INDEX(Servicios!$D$9:$D$38,MAX(1,$O77))="Sí",SUMIFS(Ajustes!$D$5:$D$18,Ajustes!$A$5:$A$18,"Largo",Ajustes!$B$5:$B$18,""&amp;$E77),0)+IF(INDEX(Servicios!$E$9:$E$38,MAX(1,$O77))="Sí",SUMIFS(Ajustes!$D$5:$D$18,Ajustes!$A$5:$A$18,"Densidad",Ajustes!$B$5:$B$18,""&amp;$F77),0)+IF(INDEX(Servicios!$F$9:$F$38,MAX(1,$O77))="Sí",SUMIFS(Ajustes!$D$5:$D$18,Ajustes!$A$5:$A$18,"Estado de la fibra",Ajustes!$B$5:$B$18,""&amp;$G77),0)+IF(INDEX(Servicios!$G$9:$G$38,MAX(1,$O77))="Sí",SUMIFS(Ajustes!$D$5:$D$18,Ajustes!$A$5:$A$18,"Canas",Ajustes!$B$5:$B$18,""&amp;$H77),0))*(1+IF(INDEX(Servicios!$D$9:$D$38,MAX(1,$O77))="Sí",SUMIFS(Ajustes!$E$5:$E$18,Ajustes!$A$5:$A$18,"Largo",Ajustes!$B$5:$B$18,""&amp;$E77),0)+IF(INDEX(Servicios!$E$9:$E$38,MAX(1,$O77))="Sí",SUMIFS(Ajustes!$E$5:$E$18,Ajustes!$A$5:$A$18,"Densidad",Ajustes!$B$5:$B$18,""&amp;$F77),0)+IF(INDEX(Servicios!$F$9:$F$38,MAX(1,$O77))="Sí",SUMIFS(Ajustes!$E$5:$E$18,Ajustes!$A$5:$A$18,"Estado de la fibra",Ajustes!$B$5:$B$18,""&amp;$G77),0)+IF(INDEX(Servicios!$G$9:$G$38,MAX(1,$O77))="Sí",SUMIFS(Ajustes!$E$5:$E$18,Ajustes!$A$5:$A$18,"Canas",Ajustes!$B$5:$B$18,""&amp;$H77),0))/MAX(1,Servicios!$E$5),0)*MAX(1,Servicios!$E$5))</f>
        <v/>
      </c>
      <c r="J77" s="11" t="n"/>
      <c r="K77" s="19">
        <f>IF(OR(I77="",J77=""),"",J77-I77)</f>
        <v/>
      </c>
      <c r="L77" s="20">
        <f>IF(OR(I77="",J77="",I77=0),"",J77/I77-1)</f>
        <v/>
      </c>
      <c r="M77" s="5" t="n"/>
      <c r="N77" s="5" t="n"/>
      <c r="O77" s="25">
        <f>IF($D77="",0,IFERROR(MATCH($D77,Servicios!$A$9:$A$38,0),0))</f>
        <v/>
      </c>
      <c r="P77" s="25">
        <f>IF(OR(I77="",J77=""),"",IF(ABS(J77-I77)&lt;=0.05*I77,1,0))</f>
        <v/>
      </c>
    </row>
    <row r="78">
      <c r="A78" s="10" t="n"/>
      <c r="B78" s="5" t="n"/>
      <c r="C78" s="5" t="n"/>
      <c r="D78" s="5" t="n"/>
      <c r="E78" s="5" t="n"/>
      <c r="F78" s="5" t="n"/>
      <c r="G78" s="5" t="n"/>
      <c r="H78" s="5" t="n"/>
      <c r="I78" s="19">
        <f>IF($O78=0,"",ROUND((INDEX(Servicios!$C$9:$C$38,MAX(1,$O78))+IF(INDEX(Servicios!$D$9:$D$38,MAX(1,$O78))="Sí",SUMIFS(Ajustes!$D$5:$D$18,Ajustes!$A$5:$A$18,"Largo",Ajustes!$B$5:$B$18,""&amp;$E78),0)+IF(INDEX(Servicios!$E$9:$E$38,MAX(1,$O78))="Sí",SUMIFS(Ajustes!$D$5:$D$18,Ajustes!$A$5:$A$18,"Densidad",Ajustes!$B$5:$B$18,""&amp;$F78),0)+IF(INDEX(Servicios!$F$9:$F$38,MAX(1,$O78))="Sí",SUMIFS(Ajustes!$D$5:$D$18,Ajustes!$A$5:$A$18,"Estado de la fibra",Ajustes!$B$5:$B$18,""&amp;$G78),0)+IF(INDEX(Servicios!$G$9:$G$38,MAX(1,$O78))="Sí",SUMIFS(Ajustes!$D$5:$D$18,Ajustes!$A$5:$A$18,"Canas",Ajustes!$B$5:$B$18,""&amp;$H78),0))*(1+IF(INDEX(Servicios!$D$9:$D$38,MAX(1,$O78))="Sí",SUMIFS(Ajustes!$E$5:$E$18,Ajustes!$A$5:$A$18,"Largo",Ajustes!$B$5:$B$18,""&amp;$E78),0)+IF(INDEX(Servicios!$E$9:$E$38,MAX(1,$O78))="Sí",SUMIFS(Ajustes!$E$5:$E$18,Ajustes!$A$5:$A$18,"Densidad",Ajustes!$B$5:$B$18,""&amp;$F78),0)+IF(INDEX(Servicios!$F$9:$F$38,MAX(1,$O78))="Sí",SUMIFS(Ajustes!$E$5:$E$18,Ajustes!$A$5:$A$18,"Estado de la fibra",Ajustes!$B$5:$B$18,""&amp;$G78),0)+IF(INDEX(Servicios!$G$9:$G$38,MAX(1,$O78))="Sí",SUMIFS(Ajustes!$E$5:$E$18,Ajustes!$A$5:$A$18,"Canas",Ajustes!$B$5:$B$18,""&amp;$H78),0))/MAX(1,Servicios!$E$5),0)*MAX(1,Servicios!$E$5))</f>
        <v/>
      </c>
      <c r="J78" s="11" t="n"/>
      <c r="K78" s="19">
        <f>IF(OR(I78="",J78=""),"",J78-I78)</f>
        <v/>
      </c>
      <c r="L78" s="20">
        <f>IF(OR(I78="",J78="",I78=0),"",J78/I78-1)</f>
        <v/>
      </c>
      <c r="M78" s="5" t="n"/>
      <c r="N78" s="5" t="n"/>
      <c r="O78" s="25">
        <f>IF($D78="",0,IFERROR(MATCH($D78,Servicios!$A$9:$A$38,0),0))</f>
        <v/>
      </c>
      <c r="P78" s="25">
        <f>IF(OR(I78="",J78=""),"",IF(ABS(J78-I78)&lt;=0.05*I78,1,0))</f>
        <v/>
      </c>
    </row>
    <row r="79">
      <c r="A79" s="10" t="n"/>
      <c r="B79" s="5" t="n"/>
      <c r="C79" s="5" t="n"/>
      <c r="D79" s="5" t="n"/>
      <c r="E79" s="5" t="n"/>
      <c r="F79" s="5" t="n"/>
      <c r="G79" s="5" t="n"/>
      <c r="H79" s="5" t="n"/>
      <c r="I79" s="19">
        <f>IF($O79=0,"",ROUND((INDEX(Servicios!$C$9:$C$38,MAX(1,$O79))+IF(INDEX(Servicios!$D$9:$D$38,MAX(1,$O79))="Sí",SUMIFS(Ajustes!$D$5:$D$18,Ajustes!$A$5:$A$18,"Largo",Ajustes!$B$5:$B$18,""&amp;$E79),0)+IF(INDEX(Servicios!$E$9:$E$38,MAX(1,$O79))="Sí",SUMIFS(Ajustes!$D$5:$D$18,Ajustes!$A$5:$A$18,"Densidad",Ajustes!$B$5:$B$18,""&amp;$F79),0)+IF(INDEX(Servicios!$F$9:$F$38,MAX(1,$O79))="Sí",SUMIFS(Ajustes!$D$5:$D$18,Ajustes!$A$5:$A$18,"Estado de la fibra",Ajustes!$B$5:$B$18,""&amp;$G79),0)+IF(INDEX(Servicios!$G$9:$G$38,MAX(1,$O79))="Sí",SUMIFS(Ajustes!$D$5:$D$18,Ajustes!$A$5:$A$18,"Canas",Ajustes!$B$5:$B$18,""&amp;$H79),0))*(1+IF(INDEX(Servicios!$D$9:$D$38,MAX(1,$O79))="Sí",SUMIFS(Ajustes!$E$5:$E$18,Ajustes!$A$5:$A$18,"Largo",Ajustes!$B$5:$B$18,""&amp;$E79),0)+IF(INDEX(Servicios!$E$9:$E$38,MAX(1,$O79))="Sí",SUMIFS(Ajustes!$E$5:$E$18,Ajustes!$A$5:$A$18,"Densidad",Ajustes!$B$5:$B$18,""&amp;$F79),0)+IF(INDEX(Servicios!$F$9:$F$38,MAX(1,$O79))="Sí",SUMIFS(Ajustes!$E$5:$E$18,Ajustes!$A$5:$A$18,"Estado de la fibra",Ajustes!$B$5:$B$18,""&amp;$G79),0)+IF(INDEX(Servicios!$G$9:$G$38,MAX(1,$O79))="Sí",SUMIFS(Ajustes!$E$5:$E$18,Ajustes!$A$5:$A$18,"Canas",Ajustes!$B$5:$B$18,""&amp;$H79),0))/MAX(1,Servicios!$E$5),0)*MAX(1,Servicios!$E$5))</f>
        <v/>
      </c>
      <c r="J79" s="11" t="n"/>
      <c r="K79" s="19">
        <f>IF(OR(I79="",J79=""),"",J79-I79)</f>
        <v/>
      </c>
      <c r="L79" s="20">
        <f>IF(OR(I79="",J79="",I79=0),"",J79/I79-1)</f>
        <v/>
      </c>
      <c r="M79" s="5" t="n"/>
      <c r="N79" s="5" t="n"/>
      <c r="O79" s="25">
        <f>IF($D79="",0,IFERROR(MATCH($D79,Servicios!$A$9:$A$38,0),0))</f>
        <v/>
      </c>
      <c r="P79" s="25">
        <f>IF(OR(I79="",J79=""),"",IF(ABS(J79-I79)&lt;=0.05*I79,1,0))</f>
        <v/>
      </c>
    </row>
    <row r="80">
      <c r="A80" s="10" t="n"/>
      <c r="B80" s="5" t="n"/>
      <c r="C80" s="5" t="n"/>
      <c r="D80" s="5" t="n"/>
      <c r="E80" s="5" t="n"/>
      <c r="F80" s="5" t="n"/>
      <c r="G80" s="5" t="n"/>
      <c r="H80" s="5" t="n"/>
      <c r="I80" s="19">
        <f>IF($O80=0,"",ROUND((INDEX(Servicios!$C$9:$C$38,MAX(1,$O80))+IF(INDEX(Servicios!$D$9:$D$38,MAX(1,$O80))="Sí",SUMIFS(Ajustes!$D$5:$D$18,Ajustes!$A$5:$A$18,"Largo",Ajustes!$B$5:$B$18,""&amp;$E80),0)+IF(INDEX(Servicios!$E$9:$E$38,MAX(1,$O80))="Sí",SUMIFS(Ajustes!$D$5:$D$18,Ajustes!$A$5:$A$18,"Densidad",Ajustes!$B$5:$B$18,""&amp;$F80),0)+IF(INDEX(Servicios!$F$9:$F$38,MAX(1,$O80))="Sí",SUMIFS(Ajustes!$D$5:$D$18,Ajustes!$A$5:$A$18,"Estado de la fibra",Ajustes!$B$5:$B$18,""&amp;$G80),0)+IF(INDEX(Servicios!$G$9:$G$38,MAX(1,$O80))="Sí",SUMIFS(Ajustes!$D$5:$D$18,Ajustes!$A$5:$A$18,"Canas",Ajustes!$B$5:$B$18,""&amp;$H80),0))*(1+IF(INDEX(Servicios!$D$9:$D$38,MAX(1,$O80))="Sí",SUMIFS(Ajustes!$E$5:$E$18,Ajustes!$A$5:$A$18,"Largo",Ajustes!$B$5:$B$18,""&amp;$E80),0)+IF(INDEX(Servicios!$E$9:$E$38,MAX(1,$O80))="Sí",SUMIFS(Ajustes!$E$5:$E$18,Ajustes!$A$5:$A$18,"Densidad",Ajustes!$B$5:$B$18,""&amp;$F80),0)+IF(INDEX(Servicios!$F$9:$F$38,MAX(1,$O80))="Sí",SUMIFS(Ajustes!$E$5:$E$18,Ajustes!$A$5:$A$18,"Estado de la fibra",Ajustes!$B$5:$B$18,""&amp;$G80),0)+IF(INDEX(Servicios!$G$9:$G$38,MAX(1,$O80))="Sí",SUMIFS(Ajustes!$E$5:$E$18,Ajustes!$A$5:$A$18,"Canas",Ajustes!$B$5:$B$18,""&amp;$H80),0))/MAX(1,Servicios!$E$5),0)*MAX(1,Servicios!$E$5))</f>
        <v/>
      </c>
      <c r="J80" s="11" t="n"/>
      <c r="K80" s="19">
        <f>IF(OR(I80="",J80=""),"",J80-I80)</f>
        <v/>
      </c>
      <c r="L80" s="20">
        <f>IF(OR(I80="",J80="",I80=0),"",J80/I80-1)</f>
        <v/>
      </c>
      <c r="M80" s="5" t="n"/>
      <c r="N80" s="5" t="n"/>
      <c r="O80" s="25">
        <f>IF($D80="",0,IFERROR(MATCH($D80,Servicios!$A$9:$A$38,0),0))</f>
        <v/>
      </c>
      <c r="P80" s="25">
        <f>IF(OR(I80="",J80=""),"",IF(ABS(J80-I80)&lt;=0.05*I80,1,0))</f>
        <v/>
      </c>
    </row>
    <row r="81">
      <c r="A81" s="10" t="n"/>
      <c r="B81" s="5" t="n"/>
      <c r="C81" s="5" t="n"/>
      <c r="D81" s="5" t="n"/>
      <c r="E81" s="5" t="n"/>
      <c r="F81" s="5" t="n"/>
      <c r="G81" s="5" t="n"/>
      <c r="H81" s="5" t="n"/>
      <c r="I81" s="19">
        <f>IF($O81=0,"",ROUND((INDEX(Servicios!$C$9:$C$38,MAX(1,$O81))+IF(INDEX(Servicios!$D$9:$D$38,MAX(1,$O81))="Sí",SUMIFS(Ajustes!$D$5:$D$18,Ajustes!$A$5:$A$18,"Largo",Ajustes!$B$5:$B$18,""&amp;$E81),0)+IF(INDEX(Servicios!$E$9:$E$38,MAX(1,$O81))="Sí",SUMIFS(Ajustes!$D$5:$D$18,Ajustes!$A$5:$A$18,"Densidad",Ajustes!$B$5:$B$18,""&amp;$F81),0)+IF(INDEX(Servicios!$F$9:$F$38,MAX(1,$O81))="Sí",SUMIFS(Ajustes!$D$5:$D$18,Ajustes!$A$5:$A$18,"Estado de la fibra",Ajustes!$B$5:$B$18,""&amp;$G81),0)+IF(INDEX(Servicios!$G$9:$G$38,MAX(1,$O81))="Sí",SUMIFS(Ajustes!$D$5:$D$18,Ajustes!$A$5:$A$18,"Canas",Ajustes!$B$5:$B$18,""&amp;$H81),0))*(1+IF(INDEX(Servicios!$D$9:$D$38,MAX(1,$O81))="Sí",SUMIFS(Ajustes!$E$5:$E$18,Ajustes!$A$5:$A$18,"Largo",Ajustes!$B$5:$B$18,""&amp;$E81),0)+IF(INDEX(Servicios!$E$9:$E$38,MAX(1,$O81))="Sí",SUMIFS(Ajustes!$E$5:$E$18,Ajustes!$A$5:$A$18,"Densidad",Ajustes!$B$5:$B$18,""&amp;$F81),0)+IF(INDEX(Servicios!$F$9:$F$38,MAX(1,$O81))="Sí",SUMIFS(Ajustes!$E$5:$E$18,Ajustes!$A$5:$A$18,"Estado de la fibra",Ajustes!$B$5:$B$18,""&amp;$G81),0)+IF(INDEX(Servicios!$G$9:$G$38,MAX(1,$O81))="Sí",SUMIFS(Ajustes!$E$5:$E$18,Ajustes!$A$5:$A$18,"Canas",Ajustes!$B$5:$B$18,""&amp;$H81),0))/MAX(1,Servicios!$E$5),0)*MAX(1,Servicios!$E$5))</f>
        <v/>
      </c>
      <c r="J81" s="11" t="n"/>
      <c r="K81" s="19">
        <f>IF(OR(I81="",J81=""),"",J81-I81)</f>
        <v/>
      </c>
      <c r="L81" s="20">
        <f>IF(OR(I81="",J81="",I81=0),"",J81/I81-1)</f>
        <v/>
      </c>
      <c r="M81" s="5" t="n"/>
      <c r="N81" s="5" t="n"/>
      <c r="O81" s="25">
        <f>IF($D81="",0,IFERROR(MATCH($D81,Servicios!$A$9:$A$38,0),0))</f>
        <v/>
      </c>
      <c r="P81" s="25">
        <f>IF(OR(I81="",J81=""),"",IF(ABS(J81-I81)&lt;=0.05*I81,1,0))</f>
        <v/>
      </c>
    </row>
    <row r="82">
      <c r="A82" s="10" t="n"/>
      <c r="B82" s="5" t="n"/>
      <c r="C82" s="5" t="n"/>
      <c r="D82" s="5" t="n"/>
      <c r="E82" s="5" t="n"/>
      <c r="F82" s="5" t="n"/>
      <c r="G82" s="5" t="n"/>
      <c r="H82" s="5" t="n"/>
      <c r="I82" s="19">
        <f>IF($O82=0,"",ROUND((INDEX(Servicios!$C$9:$C$38,MAX(1,$O82))+IF(INDEX(Servicios!$D$9:$D$38,MAX(1,$O82))="Sí",SUMIFS(Ajustes!$D$5:$D$18,Ajustes!$A$5:$A$18,"Largo",Ajustes!$B$5:$B$18,""&amp;$E82),0)+IF(INDEX(Servicios!$E$9:$E$38,MAX(1,$O82))="Sí",SUMIFS(Ajustes!$D$5:$D$18,Ajustes!$A$5:$A$18,"Densidad",Ajustes!$B$5:$B$18,""&amp;$F82),0)+IF(INDEX(Servicios!$F$9:$F$38,MAX(1,$O82))="Sí",SUMIFS(Ajustes!$D$5:$D$18,Ajustes!$A$5:$A$18,"Estado de la fibra",Ajustes!$B$5:$B$18,""&amp;$G82),0)+IF(INDEX(Servicios!$G$9:$G$38,MAX(1,$O82))="Sí",SUMIFS(Ajustes!$D$5:$D$18,Ajustes!$A$5:$A$18,"Canas",Ajustes!$B$5:$B$18,""&amp;$H82),0))*(1+IF(INDEX(Servicios!$D$9:$D$38,MAX(1,$O82))="Sí",SUMIFS(Ajustes!$E$5:$E$18,Ajustes!$A$5:$A$18,"Largo",Ajustes!$B$5:$B$18,""&amp;$E82),0)+IF(INDEX(Servicios!$E$9:$E$38,MAX(1,$O82))="Sí",SUMIFS(Ajustes!$E$5:$E$18,Ajustes!$A$5:$A$18,"Densidad",Ajustes!$B$5:$B$18,""&amp;$F82),0)+IF(INDEX(Servicios!$F$9:$F$38,MAX(1,$O82))="Sí",SUMIFS(Ajustes!$E$5:$E$18,Ajustes!$A$5:$A$18,"Estado de la fibra",Ajustes!$B$5:$B$18,""&amp;$G82),0)+IF(INDEX(Servicios!$G$9:$G$38,MAX(1,$O82))="Sí",SUMIFS(Ajustes!$E$5:$E$18,Ajustes!$A$5:$A$18,"Canas",Ajustes!$B$5:$B$18,""&amp;$H82),0))/MAX(1,Servicios!$E$5),0)*MAX(1,Servicios!$E$5))</f>
        <v/>
      </c>
      <c r="J82" s="11" t="n"/>
      <c r="K82" s="19">
        <f>IF(OR(I82="",J82=""),"",J82-I82)</f>
        <v/>
      </c>
      <c r="L82" s="20">
        <f>IF(OR(I82="",J82="",I82=0),"",J82/I82-1)</f>
        <v/>
      </c>
      <c r="M82" s="5" t="n"/>
      <c r="N82" s="5" t="n"/>
      <c r="O82" s="25">
        <f>IF($D82="",0,IFERROR(MATCH($D82,Servicios!$A$9:$A$38,0),0))</f>
        <v/>
      </c>
      <c r="P82" s="25">
        <f>IF(OR(I82="",J82=""),"",IF(ABS(J82-I82)&lt;=0.05*I82,1,0))</f>
        <v/>
      </c>
    </row>
    <row r="83">
      <c r="A83" s="10" t="n"/>
      <c r="B83" s="5" t="n"/>
      <c r="C83" s="5" t="n"/>
      <c r="D83" s="5" t="n"/>
      <c r="E83" s="5" t="n"/>
      <c r="F83" s="5" t="n"/>
      <c r="G83" s="5" t="n"/>
      <c r="H83" s="5" t="n"/>
      <c r="I83" s="19">
        <f>IF($O83=0,"",ROUND((INDEX(Servicios!$C$9:$C$38,MAX(1,$O83))+IF(INDEX(Servicios!$D$9:$D$38,MAX(1,$O83))="Sí",SUMIFS(Ajustes!$D$5:$D$18,Ajustes!$A$5:$A$18,"Largo",Ajustes!$B$5:$B$18,""&amp;$E83),0)+IF(INDEX(Servicios!$E$9:$E$38,MAX(1,$O83))="Sí",SUMIFS(Ajustes!$D$5:$D$18,Ajustes!$A$5:$A$18,"Densidad",Ajustes!$B$5:$B$18,""&amp;$F83),0)+IF(INDEX(Servicios!$F$9:$F$38,MAX(1,$O83))="Sí",SUMIFS(Ajustes!$D$5:$D$18,Ajustes!$A$5:$A$18,"Estado de la fibra",Ajustes!$B$5:$B$18,""&amp;$G83),0)+IF(INDEX(Servicios!$G$9:$G$38,MAX(1,$O83))="Sí",SUMIFS(Ajustes!$D$5:$D$18,Ajustes!$A$5:$A$18,"Canas",Ajustes!$B$5:$B$18,""&amp;$H83),0))*(1+IF(INDEX(Servicios!$D$9:$D$38,MAX(1,$O83))="Sí",SUMIFS(Ajustes!$E$5:$E$18,Ajustes!$A$5:$A$18,"Largo",Ajustes!$B$5:$B$18,""&amp;$E83),0)+IF(INDEX(Servicios!$E$9:$E$38,MAX(1,$O83))="Sí",SUMIFS(Ajustes!$E$5:$E$18,Ajustes!$A$5:$A$18,"Densidad",Ajustes!$B$5:$B$18,""&amp;$F83),0)+IF(INDEX(Servicios!$F$9:$F$38,MAX(1,$O83))="Sí",SUMIFS(Ajustes!$E$5:$E$18,Ajustes!$A$5:$A$18,"Estado de la fibra",Ajustes!$B$5:$B$18,""&amp;$G83),0)+IF(INDEX(Servicios!$G$9:$G$38,MAX(1,$O83))="Sí",SUMIFS(Ajustes!$E$5:$E$18,Ajustes!$A$5:$A$18,"Canas",Ajustes!$B$5:$B$18,""&amp;$H83),0))/MAX(1,Servicios!$E$5),0)*MAX(1,Servicios!$E$5))</f>
        <v/>
      </c>
      <c r="J83" s="11" t="n"/>
      <c r="K83" s="19">
        <f>IF(OR(I83="",J83=""),"",J83-I83)</f>
        <v/>
      </c>
      <c r="L83" s="20">
        <f>IF(OR(I83="",J83="",I83=0),"",J83/I83-1)</f>
        <v/>
      </c>
      <c r="M83" s="5" t="n"/>
      <c r="N83" s="5" t="n"/>
      <c r="O83" s="25">
        <f>IF($D83="",0,IFERROR(MATCH($D83,Servicios!$A$9:$A$38,0),0))</f>
        <v/>
      </c>
      <c r="P83" s="25">
        <f>IF(OR(I83="",J83=""),"",IF(ABS(J83-I83)&lt;=0.05*I83,1,0))</f>
        <v/>
      </c>
    </row>
    <row r="84">
      <c r="A84" s="10" t="n"/>
      <c r="B84" s="5" t="n"/>
      <c r="C84" s="5" t="n"/>
      <c r="D84" s="5" t="n"/>
      <c r="E84" s="5" t="n"/>
      <c r="F84" s="5" t="n"/>
      <c r="G84" s="5" t="n"/>
      <c r="H84" s="5" t="n"/>
      <c r="I84" s="19">
        <f>IF($O84=0,"",ROUND((INDEX(Servicios!$C$9:$C$38,MAX(1,$O84))+IF(INDEX(Servicios!$D$9:$D$38,MAX(1,$O84))="Sí",SUMIFS(Ajustes!$D$5:$D$18,Ajustes!$A$5:$A$18,"Largo",Ajustes!$B$5:$B$18,""&amp;$E84),0)+IF(INDEX(Servicios!$E$9:$E$38,MAX(1,$O84))="Sí",SUMIFS(Ajustes!$D$5:$D$18,Ajustes!$A$5:$A$18,"Densidad",Ajustes!$B$5:$B$18,""&amp;$F84),0)+IF(INDEX(Servicios!$F$9:$F$38,MAX(1,$O84))="Sí",SUMIFS(Ajustes!$D$5:$D$18,Ajustes!$A$5:$A$18,"Estado de la fibra",Ajustes!$B$5:$B$18,""&amp;$G84),0)+IF(INDEX(Servicios!$G$9:$G$38,MAX(1,$O84))="Sí",SUMIFS(Ajustes!$D$5:$D$18,Ajustes!$A$5:$A$18,"Canas",Ajustes!$B$5:$B$18,""&amp;$H84),0))*(1+IF(INDEX(Servicios!$D$9:$D$38,MAX(1,$O84))="Sí",SUMIFS(Ajustes!$E$5:$E$18,Ajustes!$A$5:$A$18,"Largo",Ajustes!$B$5:$B$18,""&amp;$E84),0)+IF(INDEX(Servicios!$E$9:$E$38,MAX(1,$O84))="Sí",SUMIFS(Ajustes!$E$5:$E$18,Ajustes!$A$5:$A$18,"Densidad",Ajustes!$B$5:$B$18,""&amp;$F84),0)+IF(INDEX(Servicios!$F$9:$F$38,MAX(1,$O84))="Sí",SUMIFS(Ajustes!$E$5:$E$18,Ajustes!$A$5:$A$18,"Estado de la fibra",Ajustes!$B$5:$B$18,""&amp;$G84),0)+IF(INDEX(Servicios!$G$9:$G$38,MAX(1,$O84))="Sí",SUMIFS(Ajustes!$E$5:$E$18,Ajustes!$A$5:$A$18,"Canas",Ajustes!$B$5:$B$18,""&amp;$H84),0))/MAX(1,Servicios!$E$5),0)*MAX(1,Servicios!$E$5))</f>
        <v/>
      </c>
      <c r="J84" s="11" t="n"/>
      <c r="K84" s="19">
        <f>IF(OR(I84="",J84=""),"",J84-I84)</f>
        <v/>
      </c>
      <c r="L84" s="20">
        <f>IF(OR(I84="",J84="",I84=0),"",J84/I84-1)</f>
        <v/>
      </c>
      <c r="M84" s="5" t="n"/>
      <c r="N84" s="5" t="n"/>
      <c r="O84" s="25">
        <f>IF($D84="",0,IFERROR(MATCH($D84,Servicios!$A$9:$A$38,0),0))</f>
        <v/>
      </c>
      <c r="P84" s="25">
        <f>IF(OR(I84="",J84=""),"",IF(ABS(J84-I84)&lt;=0.05*I84,1,0))</f>
        <v/>
      </c>
    </row>
    <row r="85">
      <c r="A85" s="10" t="n"/>
      <c r="B85" s="5" t="n"/>
      <c r="C85" s="5" t="n"/>
      <c r="D85" s="5" t="n"/>
      <c r="E85" s="5" t="n"/>
      <c r="F85" s="5" t="n"/>
      <c r="G85" s="5" t="n"/>
      <c r="H85" s="5" t="n"/>
      <c r="I85" s="19">
        <f>IF($O85=0,"",ROUND((INDEX(Servicios!$C$9:$C$38,MAX(1,$O85))+IF(INDEX(Servicios!$D$9:$D$38,MAX(1,$O85))="Sí",SUMIFS(Ajustes!$D$5:$D$18,Ajustes!$A$5:$A$18,"Largo",Ajustes!$B$5:$B$18,""&amp;$E85),0)+IF(INDEX(Servicios!$E$9:$E$38,MAX(1,$O85))="Sí",SUMIFS(Ajustes!$D$5:$D$18,Ajustes!$A$5:$A$18,"Densidad",Ajustes!$B$5:$B$18,""&amp;$F85),0)+IF(INDEX(Servicios!$F$9:$F$38,MAX(1,$O85))="Sí",SUMIFS(Ajustes!$D$5:$D$18,Ajustes!$A$5:$A$18,"Estado de la fibra",Ajustes!$B$5:$B$18,""&amp;$G85),0)+IF(INDEX(Servicios!$G$9:$G$38,MAX(1,$O85))="Sí",SUMIFS(Ajustes!$D$5:$D$18,Ajustes!$A$5:$A$18,"Canas",Ajustes!$B$5:$B$18,""&amp;$H85),0))*(1+IF(INDEX(Servicios!$D$9:$D$38,MAX(1,$O85))="Sí",SUMIFS(Ajustes!$E$5:$E$18,Ajustes!$A$5:$A$18,"Largo",Ajustes!$B$5:$B$18,""&amp;$E85),0)+IF(INDEX(Servicios!$E$9:$E$38,MAX(1,$O85))="Sí",SUMIFS(Ajustes!$E$5:$E$18,Ajustes!$A$5:$A$18,"Densidad",Ajustes!$B$5:$B$18,""&amp;$F85),0)+IF(INDEX(Servicios!$F$9:$F$38,MAX(1,$O85))="Sí",SUMIFS(Ajustes!$E$5:$E$18,Ajustes!$A$5:$A$18,"Estado de la fibra",Ajustes!$B$5:$B$18,""&amp;$G85),0)+IF(INDEX(Servicios!$G$9:$G$38,MAX(1,$O85))="Sí",SUMIFS(Ajustes!$E$5:$E$18,Ajustes!$A$5:$A$18,"Canas",Ajustes!$B$5:$B$18,""&amp;$H85),0))/MAX(1,Servicios!$E$5),0)*MAX(1,Servicios!$E$5))</f>
        <v/>
      </c>
      <c r="J85" s="11" t="n"/>
      <c r="K85" s="19">
        <f>IF(OR(I85="",J85=""),"",J85-I85)</f>
        <v/>
      </c>
      <c r="L85" s="20">
        <f>IF(OR(I85="",J85="",I85=0),"",J85/I85-1)</f>
        <v/>
      </c>
      <c r="M85" s="5" t="n"/>
      <c r="N85" s="5" t="n"/>
      <c r="O85" s="25">
        <f>IF($D85="",0,IFERROR(MATCH($D85,Servicios!$A$9:$A$38,0),0))</f>
        <v/>
      </c>
      <c r="P85" s="25">
        <f>IF(OR(I85="",J85=""),"",IF(ABS(J85-I85)&lt;=0.05*I85,1,0))</f>
        <v/>
      </c>
    </row>
    <row r="86">
      <c r="A86" s="10" t="n"/>
      <c r="B86" s="5" t="n"/>
      <c r="C86" s="5" t="n"/>
      <c r="D86" s="5" t="n"/>
      <c r="E86" s="5" t="n"/>
      <c r="F86" s="5" t="n"/>
      <c r="G86" s="5" t="n"/>
      <c r="H86" s="5" t="n"/>
      <c r="I86" s="19">
        <f>IF($O86=0,"",ROUND((INDEX(Servicios!$C$9:$C$38,MAX(1,$O86))+IF(INDEX(Servicios!$D$9:$D$38,MAX(1,$O86))="Sí",SUMIFS(Ajustes!$D$5:$D$18,Ajustes!$A$5:$A$18,"Largo",Ajustes!$B$5:$B$18,""&amp;$E86),0)+IF(INDEX(Servicios!$E$9:$E$38,MAX(1,$O86))="Sí",SUMIFS(Ajustes!$D$5:$D$18,Ajustes!$A$5:$A$18,"Densidad",Ajustes!$B$5:$B$18,""&amp;$F86),0)+IF(INDEX(Servicios!$F$9:$F$38,MAX(1,$O86))="Sí",SUMIFS(Ajustes!$D$5:$D$18,Ajustes!$A$5:$A$18,"Estado de la fibra",Ajustes!$B$5:$B$18,""&amp;$G86),0)+IF(INDEX(Servicios!$G$9:$G$38,MAX(1,$O86))="Sí",SUMIFS(Ajustes!$D$5:$D$18,Ajustes!$A$5:$A$18,"Canas",Ajustes!$B$5:$B$18,""&amp;$H86),0))*(1+IF(INDEX(Servicios!$D$9:$D$38,MAX(1,$O86))="Sí",SUMIFS(Ajustes!$E$5:$E$18,Ajustes!$A$5:$A$18,"Largo",Ajustes!$B$5:$B$18,""&amp;$E86),0)+IF(INDEX(Servicios!$E$9:$E$38,MAX(1,$O86))="Sí",SUMIFS(Ajustes!$E$5:$E$18,Ajustes!$A$5:$A$18,"Densidad",Ajustes!$B$5:$B$18,""&amp;$F86),0)+IF(INDEX(Servicios!$F$9:$F$38,MAX(1,$O86))="Sí",SUMIFS(Ajustes!$E$5:$E$18,Ajustes!$A$5:$A$18,"Estado de la fibra",Ajustes!$B$5:$B$18,""&amp;$G86),0)+IF(INDEX(Servicios!$G$9:$G$38,MAX(1,$O86))="Sí",SUMIFS(Ajustes!$E$5:$E$18,Ajustes!$A$5:$A$18,"Canas",Ajustes!$B$5:$B$18,""&amp;$H86),0))/MAX(1,Servicios!$E$5),0)*MAX(1,Servicios!$E$5))</f>
        <v/>
      </c>
      <c r="J86" s="11" t="n"/>
      <c r="K86" s="19">
        <f>IF(OR(I86="",J86=""),"",J86-I86)</f>
        <v/>
      </c>
      <c r="L86" s="20">
        <f>IF(OR(I86="",J86="",I86=0),"",J86/I86-1)</f>
        <v/>
      </c>
      <c r="M86" s="5" t="n"/>
      <c r="N86" s="5" t="n"/>
      <c r="O86" s="25">
        <f>IF($D86="",0,IFERROR(MATCH($D86,Servicios!$A$9:$A$38,0),0))</f>
        <v/>
      </c>
      <c r="P86" s="25">
        <f>IF(OR(I86="",J86=""),"",IF(ABS(J86-I86)&lt;=0.05*I86,1,0))</f>
        <v/>
      </c>
    </row>
    <row r="87">
      <c r="A87" s="10" t="n"/>
      <c r="B87" s="5" t="n"/>
      <c r="C87" s="5" t="n"/>
      <c r="D87" s="5" t="n"/>
      <c r="E87" s="5" t="n"/>
      <c r="F87" s="5" t="n"/>
      <c r="G87" s="5" t="n"/>
      <c r="H87" s="5" t="n"/>
      <c r="I87" s="19">
        <f>IF($O87=0,"",ROUND((INDEX(Servicios!$C$9:$C$38,MAX(1,$O87))+IF(INDEX(Servicios!$D$9:$D$38,MAX(1,$O87))="Sí",SUMIFS(Ajustes!$D$5:$D$18,Ajustes!$A$5:$A$18,"Largo",Ajustes!$B$5:$B$18,""&amp;$E87),0)+IF(INDEX(Servicios!$E$9:$E$38,MAX(1,$O87))="Sí",SUMIFS(Ajustes!$D$5:$D$18,Ajustes!$A$5:$A$18,"Densidad",Ajustes!$B$5:$B$18,""&amp;$F87),0)+IF(INDEX(Servicios!$F$9:$F$38,MAX(1,$O87))="Sí",SUMIFS(Ajustes!$D$5:$D$18,Ajustes!$A$5:$A$18,"Estado de la fibra",Ajustes!$B$5:$B$18,""&amp;$G87),0)+IF(INDEX(Servicios!$G$9:$G$38,MAX(1,$O87))="Sí",SUMIFS(Ajustes!$D$5:$D$18,Ajustes!$A$5:$A$18,"Canas",Ajustes!$B$5:$B$18,""&amp;$H87),0))*(1+IF(INDEX(Servicios!$D$9:$D$38,MAX(1,$O87))="Sí",SUMIFS(Ajustes!$E$5:$E$18,Ajustes!$A$5:$A$18,"Largo",Ajustes!$B$5:$B$18,""&amp;$E87),0)+IF(INDEX(Servicios!$E$9:$E$38,MAX(1,$O87))="Sí",SUMIFS(Ajustes!$E$5:$E$18,Ajustes!$A$5:$A$18,"Densidad",Ajustes!$B$5:$B$18,""&amp;$F87),0)+IF(INDEX(Servicios!$F$9:$F$38,MAX(1,$O87))="Sí",SUMIFS(Ajustes!$E$5:$E$18,Ajustes!$A$5:$A$18,"Estado de la fibra",Ajustes!$B$5:$B$18,""&amp;$G87),0)+IF(INDEX(Servicios!$G$9:$G$38,MAX(1,$O87))="Sí",SUMIFS(Ajustes!$E$5:$E$18,Ajustes!$A$5:$A$18,"Canas",Ajustes!$B$5:$B$18,""&amp;$H87),0))/MAX(1,Servicios!$E$5),0)*MAX(1,Servicios!$E$5))</f>
        <v/>
      </c>
      <c r="J87" s="11" t="n"/>
      <c r="K87" s="19">
        <f>IF(OR(I87="",J87=""),"",J87-I87)</f>
        <v/>
      </c>
      <c r="L87" s="20">
        <f>IF(OR(I87="",J87="",I87=0),"",J87/I87-1)</f>
        <v/>
      </c>
      <c r="M87" s="5" t="n"/>
      <c r="N87" s="5" t="n"/>
      <c r="O87" s="25">
        <f>IF($D87="",0,IFERROR(MATCH($D87,Servicios!$A$9:$A$38,0),0))</f>
        <v/>
      </c>
      <c r="P87" s="25">
        <f>IF(OR(I87="",J87=""),"",IF(ABS(J87-I87)&lt;=0.05*I87,1,0))</f>
        <v/>
      </c>
    </row>
    <row r="88">
      <c r="A88" s="10" t="n"/>
      <c r="B88" s="5" t="n"/>
      <c r="C88" s="5" t="n"/>
      <c r="D88" s="5" t="n"/>
      <c r="E88" s="5" t="n"/>
      <c r="F88" s="5" t="n"/>
      <c r="G88" s="5" t="n"/>
      <c r="H88" s="5" t="n"/>
      <c r="I88" s="19">
        <f>IF($O88=0,"",ROUND((INDEX(Servicios!$C$9:$C$38,MAX(1,$O88))+IF(INDEX(Servicios!$D$9:$D$38,MAX(1,$O88))="Sí",SUMIFS(Ajustes!$D$5:$D$18,Ajustes!$A$5:$A$18,"Largo",Ajustes!$B$5:$B$18,""&amp;$E88),0)+IF(INDEX(Servicios!$E$9:$E$38,MAX(1,$O88))="Sí",SUMIFS(Ajustes!$D$5:$D$18,Ajustes!$A$5:$A$18,"Densidad",Ajustes!$B$5:$B$18,""&amp;$F88),0)+IF(INDEX(Servicios!$F$9:$F$38,MAX(1,$O88))="Sí",SUMIFS(Ajustes!$D$5:$D$18,Ajustes!$A$5:$A$18,"Estado de la fibra",Ajustes!$B$5:$B$18,""&amp;$G88),0)+IF(INDEX(Servicios!$G$9:$G$38,MAX(1,$O88))="Sí",SUMIFS(Ajustes!$D$5:$D$18,Ajustes!$A$5:$A$18,"Canas",Ajustes!$B$5:$B$18,""&amp;$H88),0))*(1+IF(INDEX(Servicios!$D$9:$D$38,MAX(1,$O88))="Sí",SUMIFS(Ajustes!$E$5:$E$18,Ajustes!$A$5:$A$18,"Largo",Ajustes!$B$5:$B$18,""&amp;$E88),0)+IF(INDEX(Servicios!$E$9:$E$38,MAX(1,$O88))="Sí",SUMIFS(Ajustes!$E$5:$E$18,Ajustes!$A$5:$A$18,"Densidad",Ajustes!$B$5:$B$18,""&amp;$F88),0)+IF(INDEX(Servicios!$F$9:$F$38,MAX(1,$O88))="Sí",SUMIFS(Ajustes!$E$5:$E$18,Ajustes!$A$5:$A$18,"Estado de la fibra",Ajustes!$B$5:$B$18,""&amp;$G88),0)+IF(INDEX(Servicios!$G$9:$G$38,MAX(1,$O88))="Sí",SUMIFS(Ajustes!$E$5:$E$18,Ajustes!$A$5:$A$18,"Canas",Ajustes!$B$5:$B$18,""&amp;$H88),0))/MAX(1,Servicios!$E$5),0)*MAX(1,Servicios!$E$5))</f>
        <v/>
      </c>
      <c r="J88" s="11" t="n"/>
      <c r="K88" s="19">
        <f>IF(OR(I88="",J88=""),"",J88-I88)</f>
        <v/>
      </c>
      <c r="L88" s="20">
        <f>IF(OR(I88="",J88="",I88=0),"",J88/I88-1)</f>
        <v/>
      </c>
      <c r="M88" s="5" t="n"/>
      <c r="N88" s="5" t="n"/>
      <c r="O88" s="25">
        <f>IF($D88="",0,IFERROR(MATCH($D88,Servicios!$A$9:$A$38,0),0))</f>
        <v/>
      </c>
      <c r="P88" s="25">
        <f>IF(OR(I88="",J88=""),"",IF(ABS(J88-I88)&lt;=0.05*I88,1,0))</f>
        <v/>
      </c>
    </row>
    <row r="89">
      <c r="A89" s="10" t="n"/>
      <c r="B89" s="5" t="n"/>
      <c r="C89" s="5" t="n"/>
      <c r="D89" s="5" t="n"/>
      <c r="E89" s="5" t="n"/>
      <c r="F89" s="5" t="n"/>
      <c r="G89" s="5" t="n"/>
      <c r="H89" s="5" t="n"/>
      <c r="I89" s="19">
        <f>IF($O89=0,"",ROUND((INDEX(Servicios!$C$9:$C$38,MAX(1,$O89))+IF(INDEX(Servicios!$D$9:$D$38,MAX(1,$O89))="Sí",SUMIFS(Ajustes!$D$5:$D$18,Ajustes!$A$5:$A$18,"Largo",Ajustes!$B$5:$B$18,""&amp;$E89),0)+IF(INDEX(Servicios!$E$9:$E$38,MAX(1,$O89))="Sí",SUMIFS(Ajustes!$D$5:$D$18,Ajustes!$A$5:$A$18,"Densidad",Ajustes!$B$5:$B$18,""&amp;$F89),0)+IF(INDEX(Servicios!$F$9:$F$38,MAX(1,$O89))="Sí",SUMIFS(Ajustes!$D$5:$D$18,Ajustes!$A$5:$A$18,"Estado de la fibra",Ajustes!$B$5:$B$18,""&amp;$G89),0)+IF(INDEX(Servicios!$G$9:$G$38,MAX(1,$O89))="Sí",SUMIFS(Ajustes!$D$5:$D$18,Ajustes!$A$5:$A$18,"Canas",Ajustes!$B$5:$B$18,""&amp;$H89),0))*(1+IF(INDEX(Servicios!$D$9:$D$38,MAX(1,$O89))="Sí",SUMIFS(Ajustes!$E$5:$E$18,Ajustes!$A$5:$A$18,"Largo",Ajustes!$B$5:$B$18,""&amp;$E89),0)+IF(INDEX(Servicios!$E$9:$E$38,MAX(1,$O89))="Sí",SUMIFS(Ajustes!$E$5:$E$18,Ajustes!$A$5:$A$18,"Densidad",Ajustes!$B$5:$B$18,""&amp;$F89),0)+IF(INDEX(Servicios!$F$9:$F$38,MAX(1,$O89))="Sí",SUMIFS(Ajustes!$E$5:$E$18,Ajustes!$A$5:$A$18,"Estado de la fibra",Ajustes!$B$5:$B$18,""&amp;$G89),0)+IF(INDEX(Servicios!$G$9:$G$38,MAX(1,$O89))="Sí",SUMIFS(Ajustes!$E$5:$E$18,Ajustes!$A$5:$A$18,"Canas",Ajustes!$B$5:$B$18,""&amp;$H89),0))/MAX(1,Servicios!$E$5),0)*MAX(1,Servicios!$E$5))</f>
        <v/>
      </c>
      <c r="J89" s="11" t="n"/>
      <c r="K89" s="19">
        <f>IF(OR(I89="",J89=""),"",J89-I89)</f>
        <v/>
      </c>
      <c r="L89" s="20">
        <f>IF(OR(I89="",J89="",I89=0),"",J89/I89-1)</f>
        <v/>
      </c>
      <c r="M89" s="5" t="n"/>
      <c r="N89" s="5" t="n"/>
      <c r="O89" s="25">
        <f>IF($D89="",0,IFERROR(MATCH($D89,Servicios!$A$9:$A$38,0),0))</f>
        <v/>
      </c>
      <c r="P89" s="25">
        <f>IF(OR(I89="",J89=""),"",IF(ABS(J89-I89)&lt;=0.05*I89,1,0))</f>
        <v/>
      </c>
    </row>
    <row r="90">
      <c r="A90" s="10" t="n"/>
      <c r="B90" s="5" t="n"/>
      <c r="C90" s="5" t="n"/>
      <c r="D90" s="5" t="n"/>
      <c r="E90" s="5" t="n"/>
      <c r="F90" s="5" t="n"/>
      <c r="G90" s="5" t="n"/>
      <c r="H90" s="5" t="n"/>
      <c r="I90" s="19">
        <f>IF($O90=0,"",ROUND((INDEX(Servicios!$C$9:$C$38,MAX(1,$O90))+IF(INDEX(Servicios!$D$9:$D$38,MAX(1,$O90))="Sí",SUMIFS(Ajustes!$D$5:$D$18,Ajustes!$A$5:$A$18,"Largo",Ajustes!$B$5:$B$18,""&amp;$E90),0)+IF(INDEX(Servicios!$E$9:$E$38,MAX(1,$O90))="Sí",SUMIFS(Ajustes!$D$5:$D$18,Ajustes!$A$5:$A$18,"Densidad",Ajustes!$B$5:$B$18,""&amp;$F90),0)+IF(INDEX(Servicios!$F$9:$F$38,MAX(1,$O90))="Sí",SUMIFS(Ajustes!$D$5:$D$18,Ajustes!$A$5:$A$18,"Estado de la fibra",Ajustes!$B$5:$B$18,""&amp;$G90),0)+IF(INDEX(Servicios!$G$9:$G$38,MAX(1,$O90))="Sí",SUMIFS(Ajustes!$D$5:$D$18,Ajustes!$A$5:$A$18,"Canas",Ajustes!$B$5:$B$18,""&amp;$H90),0))*(1+IF(INDEX(Servicios!$D$9:$D$38,MAX(1,$O90))="Sí",SUMIFS(Ajustes!$E$5:$E$18,Ajustes!$A$5:$A$18,"Largo",Ajustes!$B$5:$B$18,""&amp;$E90),0)+IF(INDEX(Servicios!$E$9:$E$38,MAX(1,$O90))="Sí",SUMIFS(Ajustes!$E$5:$E$18,Ajustes!$A$5:$A$18,"Densidad",Ajustes!$B$5:$B$18,""&amp;$F90),0)+IF(INDEX(Servicios!$F$9:$F$38,MAX(1,$O90))="Sí",SUMIFS(Ajustes!$E$5:$E$18,Ajustes!$A$5:$A$18,"Estado de la fibra",Ajustes!$B$5:$B$18,""&amp;$G90),0)+IF(INDEX(Servicios!$G$9:$G$38,MAX(1,$O90))="Sí",SUMIFS(Ajustes!$E$5:$E$18,Ajustes!$A$5:$A$18,"Canas",Ajustes!$B$5:$B$18,""&amp;$H90),0))/MAX(1,Servicios!$E$5),0)*MAX(1,Servicios!$E$5))</f>
        <v/>
      </c>
      <c r="J90" s="11" t="n"/>
      <c r="K90" s="19">
        <f>IF(OR(I90="",J90=""),"",J90-I90)</f>
        <v/>
      </c>
      <c r="L90" s="20">
        <f>IF(OR(I90="",J90="",I90=0),"",J90/I90-1)</f>
        <v/>
      </c>
      <c r="M90" s="5" t="n"/>
      <c r="N90" s="5" t="n"/>
      <c r="O90" s="25">
        <f>IF($D90="",0,IFERROR(MATCH($D90,Servicios!$A$9:$A$38,0),0))</f>
        <v/>
      </c>
      <c r="P90" s="25">
        <f>IF(OR(I90="",J90=""),"",IF(ABS(J90-I90)&lt;=0.05*I90,1,0))</f>
        <v/>
      </c>
    </row>
    <row r="91">
      <c r="A91" s="10" t="n"/>
      <c r="B91" s="5" t="n"/>
      <c r="C91" s="5" t="n"/>
      <c r="D91" s="5" t="n"/>
      <c r="E91" s="5" t="n"/>
      <c r="F91" s="5" t="n"/>
      <c r="G91" s="5" t="n"/>
      <c r="H91" s="5" t="n"/>
      <c r="I91" s="19">
        <f>IF($O91=0,"",ROUND((INDEX(Servicios!$C$9:$C$38,MAX(1,$O91))+IF(INDEX(Servicios!$D$9:$D$38,MAX(1,$O91))="Sí",SUMIFS(Ajustes!$D$5:$D$18,Ajustes!$A$5:$A$18,"Largo",Ajustes!$B$5:$B$18,""&amp;$E91),0)+IF(INDEX(Servicios!$E$9:$E$38,MAX(1,$O91))="Sí",SUMIFS(Ajustes!$D$5:$D$18,Ajustes!$A$5:$A$18,"Densidad",Ajustes!$B$5:$B$18,""&amp;$F91),0)+IF(INDEX(Servicios!$F$9:$F$38,MAX(1,$O91))="Sí",SUMIFS(Ajustes!$D$5:$D$18,Ajustes!$A$5:$A$18,"Estado de la fibra",Ajustes!$B$5:$B$18,""&amp;$G91),0)+IF(INDEX(Servicios!$G$9:$G$38,MAX(1,$O91))="Sí",SUMIFS(Ajustes!$D$5:$D$18,Ajustes!$A$5:$A$18,"Canas",Ajustes!$B$5:$B$18,""&amp;$H91),0))*(1+IF(INDEX(Servicios!$D$9:$D$38,MAX(1,$O91))="Sí",SUMIFS(Ajustes!$E$5:$E$18,Ajustes!$A$5:$A$18,"Largo",Ajustes!$B$5:$B$18,""&amp;$E91),0)+IF(INDEX(Servicios!$E$9:$E$38,MAX(1,$O91))="Sí",SUMIFS(Ajustes!$E$5:$E$18,Ajustes!$A$5:$A$18,"Densidad",Ajustes!$B$5:$B$18,""&amp;$F91),0)+IF(INDEX(Servicios!$F$9:$F$38,MAX(1,$O91))="Sí",SUMIFS(Ajustes!$E$5:$E$18,Ajustes!$A$5:$A$18,"Estado de la fibra",Ajustes!$B$5:$B$18,""&amp;$G91),0)+IF(INDEX(Servicios!$G$9:$G$38,MAX(1,$O91))="Sí",SUMIFS(Ajustes!$E$5:$E$18,Ajustes!$A$5:$A$18,"Canas",Ajustes!$B$5:$B$18,""&amp;$H91),0))/MAX(1,Servicios!$E$5),0)*MAX(1,Servicios!$E$5))</f>
        <v/>
      </c>
      <c r="J91" s="11" t="n"/>
      <c r="K91" s="19">
        <f>IF(OR(I91="",J91=""),"",J91-I91)</f>
        <v/>
      </c>
      <c r="L91" s="20">
        <f>IF(OR(I91="",J91="",I91=0),"",J91/I91-1)</f>
        <v/>
      </c>
      <c r="M91" s="5" t="n"/>
      <c r="N91" s="5" t="n"/>
      <c r="O91" s="25">
        <f>IF($D91="",0,IFERROR(MATCH($D91,Servicios!$A$9:$A$38,0),0))</f>
        <v/>
      </c>
      <c r="P91" s="25">
        <f>IF(OR(I91="",J91=""),"",IF(ABS(J91-I91)&lt;=0.05*I91,1,0))</f>
        <v/>
      </c>
    </row>
    <row r="92">
      <c r="A92" s="10" t="n"/>
      <c r="B92" s="5" t="n"/>
      <c r="C92" s="5" t="n"/>
      <c r="D92" s="5" t="n"/>
      <c r="E92" s="5" t="n"/>
      <c r="F92" s="5" t="n"/>
      <c r="G92" s="5" t="n"/>
      <c r="H92" s="5" t="n"/>
      <c r="I92" s="19">
        <f>IF($O92=0,"",ROUND((INDEX(Servicios!$C$9:$C$38,MAX(1,$O92))+IF(INDEX(Servicios!$D$9:$D$38,MAX(1,$O92))="Sí",SUMIFS(Ajustes!$D$5:$D$18,Ajustes!$A$5:$A$18,"Largo",Ajustes!$B$5:$B$18,""&amp;$E92),0)+IF(INDEX(Servicios!$E$9:$E$38,MAX(1,$O92))="Sí",SUMIFS(Ajustes!$D$5:$D$18,Ajustes!$A$5:$A$18,"Densidad",Ajustes!$B$5:$B$18,""&amp;$F92),0)+IF(INDEX(Servicios!$F$9:$F$38,MAX(1,$O92))="Sí",SUMIFS(Ajustes!$D$5:$D$18,Ajustes!$A$5:$A$18,"Estado de la fibra",Ajustes!$B$5:$B$18,""&amp;$G92),0)+IF(INDEX(Servicios!$G$9:$G$38,MAX(1,$O92))="Sí",SUMIFS(Ajustes!$D$5:$D$18,Ajustes!$A$5:$A$18,"Canas",Ajustes!$B$5:$B$18,""&amp;$H92),0))*(1+IF(INDEX(Servicios!$D$9:$D$38,MAX(1,$O92))="Sí",SUMIFS(Ajustes!$E$5:$E$18,Ajustes!$A$5:$A$18,"Largo",Ajustes!$B$5:$B$18,""&amp;$E92),0)+IF(INDEX(Servicios!$E$9:$E$38,MAX(1,$O92))="Sí",SUMIFS(Ajustes!$E$5:$E$18,Ajustes!$A$5:$A$18,"Densidad",Ajustes!$B$5:$B$18,""&amp;$F92),0)+IF(INDEX(Servicios!$F$9:$F$38,MAX(1,$O92))="Sí",SUMIFS(Ajustes!$E$5:$E$18,Ajustes!$A$5:$A$18,"Estado de la fibra",Ajustes!$B$5:$B$18,""&amp;$G92),0)+IF(INDEX(Servicios!$G$9:$G$38,MAX(1,$O92))="Sí",SUMIFS(Ajustes!$E$5:$E$18,Ajustes!$A$5:$A$18,"Canas",Ajustes!$B$5:$B$18,""&amp;$H92),0))/MAX(1,Servicios!$E$5),0)*MAX(1,Servicios!$E$5))</f>
        <v/>
      </c>
      <c r="J92" s="11" t="n"/>
      <c r="K92" s="19">
        <f>IF(OR(I92="",J92=""),"",J92-I92)</f>
        <v/>
      </c>
      <c r="L92" s="20">
        <f>IF(OR(I92="",J92="",I92=0),"",J92/I92-1)</f>
        <v/>
      </c>
      <c r="M92" s="5" t="n"/>
      <c r="N92" s="5" t="n"/>
      <c r="O92" s="25">
        <f>IF($D92="",0,IFERROR(MATCH($D92,Servicios!$A$9:$A$38,0),0))</f>
        <v/>
      </c>
      <c r="P92" s="25">
        <f>IF(OR(I92="",J92=""),"",IF(ABS(J92-I92)&lt;=0.05*I92,1,0))</f>
        <v/>
      </c>
    </row>
    <row r="93">
      <c r="A93" s="10" t="n"/>
      <c r="B93" s="5" t="n"/>
      <c r="C93" s="5" t="n"/>
      <c r="D93" s="5" t="n"/>
      <c r="E93" s="5" t="n"/>
      <c r="F93" s="5" t="n"/>
      <c r="G93" s="5" t="n"/>
      <c r="H93" s="5" t="n"/>
      <c r="I93" s="19">
        <f>IF($O93=0,"",ROUND((INDEX(Servicios!$C$9:$C$38,MAX(1,$O93))+IF(INDEX(Servicios!$D$9:$D$38,MAX(1,$O93))="Sí",SUMIFS(Ajustes!$D$5:$D$18,Ajustes!$A$5:$A$18,"Largo",Ajustes!$B$5:$B$18,""&amp;$E93),0)+IF(INDEX(Servicios!$E$9:$E$38,MAX(1,$O93))="Sí",SUMIFS(Ajustes!$D$5:$D$18,Ajustes!$A$5:$A$18,"Densidad",Ajustes!$B$5:$B$18,""&amp;$F93),0)+IF(INDEX(Servicios!$F$9:$F$38,MAX(1,$O93))="Sí",SUMIFS(Ajustes!$D$5:$D$18,Ajustes!$A$5:$A$18,"Estado de la fibra",Ajustes!$B$5:$B$18,""&amp;$G93),0)+IF(INDEX(Servicios!$G$9:$G$38,MAX(1,$O93))="Sí",SUMIFS(Ajustes!$D$5:$D$18,Ajustes!$A$5:$A$18,"Canas",Ajustes!$B$5:$B$18,""&amp;$H93),0))*(1+IF(INDEX(Servicios!$D$9:$D$38,MAX(1,$O93))="Sí",SUMIFS(Ajustes!$E$5:$E$18,Ajustes!$A$5:$A$18,"Largo",Ajustes!$B$5:$B$18,""&amp;$E93),0)+IF(INDEX(Servicios!$E$9:$E$38,MAX(1,$O93))="Sí",SUMIFS(Ajustes!$E$5:$E$18,Ajustes!$A$5:$A$18,"Densidad",Ajustes!$B$5:$B$18,""&amp;$F93),0)+IF(INDEX(Servicios!$F$9:$F$38,MAX(1,$O93))="Sí",SUMIFS(Ajustes!$E$5:$E$18,Ajustes!$A$5:$A$18,"Estado de la fibra",Ajustes!$B$5:$B$18,""&amp;$G93),0)+IF(INDEX(Servicios!$G$9:$G$38,MAX(1,$O93))="Sí",SUMIFS(Ajustes!$E$5:$E$18,Ajustes!$A$5:$A$18,"Canas",Ajustes!$B$5:$B$18,""&amp;$H93),0))/MAX(1,Servicios!$E$5),0)*MAX(1,Servicios!$E$5))</f>
        <v/>
      </c>
      <c r="J93" s="11" t="n"/>
      <c r="K93" s="19">
        <f>IF(OR(I93="",J93=""),"",J93-I93)</f>
        <v/>
      </c>
      <c r="L93" s="20">
        <f>IF(OR(I93="",J93="",I93=0),"",J93/I93-1)</f>
        <v/>
      </c>
      <c r="M93" s="5" t="n"/>
      <c r="N93" s="5" t="n"/>
      <c r="O93" s="25">
        <f>IF($D93="",0,IFERROR(MATCH($D93,Servicios!$A$9:$A$38,0),0))</f>
        <v/>
      </c>
      <c r="P93" s="25">
        <f>IF(OR(I93="",J93=""),"",IF(ABS(J93-I93)&lt;=0.05*I93,1,0))</f>
        <v/>
      </c>
    </row>
    <row r="94">
      <c r="A94" s="10" t="n"/>
      <c r="B94" s="5" t="n"/>
      <c r="C94" s="5" t="n"/>
      <c r="D94" s="5" t="n"/>
      <c r="E94" s="5" t="n"/>
      <c r="F94" s="5" t="n"/>
      <c r="G94" s="5" t="n"/>
      <c r="H94" s="5" t="n"/>
      <c r="I94" s="19">
        <f>IF($O94=0,"",ROUND((INDEX(Servicios!$C$9:$C$38,MAX(1,$O94))+IF(INDEX(Servicios!$D$9:$D$38,MAX(1,$O94))="Sí",SUMIFS(Ajustes!$D$5:$D$18,Ajustes!$A$5:$A$18,"Largo",Ajustes!$B$5:$B$18,""&amp;$E94),0)+IF(INDEX(Servicios!$E$9:$E$38,MAX(1,$O94))="Sí",SUMIFS(Ajustes!$D$5:$D$18,Ajustes!$A$5:$A$18,"Densidad",Ajustes!$B$5:$B$18,""&amp;$F94),0)+IF(INDEX(Servicios!$F$9:$F$38,MAX(1,$O94))="Sí",SUMIFS(Ajustes!$D$5:$D$18,Ajustes!$A$5:$A$18,"Estado de la fibra",Ajustes!$B$5:$B$18,""&amp;$G94),0)+IF(INDEX(Servicios!$G$9:$G$38,MAX(1,$O94))="Sí",SUMIFS(Ajustes!$D$5:$D$18,Ajustes!$A$5:$A$18,"Canas",Ajustes!$B$5:$B$18,""&amp;$H94),0))*(1+IF(INDEX(Servicios!$D$9:$D$38,MAX(1,$O94))="Sí",SUMIFS(Ajustes!$E$5:$E$18,Ajustes!$A$5:$A$18,"Largo",Ajustes!$B$5:$B$18,""&amp;$E94),0)+IF(INDEX(Servicios!$E$9:$E$38,MAX(1,$O94))="Sí",SUMIFS(Ajustes!$E$5:$E$18,Ajustes!$A$5:$A$18,"Densidad",Ajustes!$B$5:$B$18,""&amp;$F94),0)+IF(INDEX(Servicios!$F$9:$F$38,MAX(1,$O94))="Sí",SUMIFS(Ajustes!$E$5:$E$18,Ajustes!$A$5:$A$18,"Estado de la fibra",Ajustes!$B$5:$B$18,""&amp;$G94),0)+IF(INDEX(Servicios!$G$9:$G$38,MAX(1,$O94))="Sí",SUMIFS(Ajustes!$E$5:$E$18,Ajustes!$A$5:$A$18,"Canas",Ajustes!$B$5:$B$18,""&amp;$H94),0))/MAX(1,Servicios!$E$5),0)*MAX(1,Servicios!$E$5))</f>
        <v/>
      </c>
      <c r="J94" s="11" t="n"/>
      <c r="K94" s="19">
        <f>IF(OR(I94="",J94=""),"",J94-I94)</f>
        <v/>
      </c>
      <c r="L94" s="20">
        <f>IF(OR(I94="",J94="",I94=0),"",J94/I94-1)</f>
        <v/>
      </c>
      <c r="M94" s="5" t="n"/>
      <c r="N94" s="5" t="n"/>
      <c r="O94" s="25">
        <f>IF($D94="",0,IFERROR(MATCH($D94,Servicios!$A$9:$A$38,0),0))</f>
        <v/>
      </c>
      <c r="P94" s="25">
        <f>IF(OR(I94="",J94=""),"",IF(ABS(J94-I94)&lt;=0.05*I94,1,0))</f>
        <v/>
      </c>
    </row>
    <row r="95">
      <c r="A95" s="10" t="n"/>
      <c r="B95" s="5" t="n"/>
      <c r="C95" s="5" t="n"/>
      <c r="D95" s="5" t="n"/>
      <c r="E95" s="5" t="n"/>
      <c r="F95" s="5" t="n"/>
      <c r="G95" s="5" t="n"/>
      <c r="H95" s="5" t="n"/>
      <c r="I95" s="19">
        <f>IF($O95=0,"",ROUND((INDEX(Servicios!$C$9:$C$38,MAX(1,$O95))+IF(INDEX(Servicios!$D$9:$D$38,MAX(1,$O95))="Sí",SUMIFS(Ajustes!$D$5:$D$18,Ajustes!$A$5:$A$18,"Largo",Ajustes!$B$5:$B$18,""&amp;$E95),0)+IF(INDEX(Servicios!$E$9:$E$38,MAX(1,$O95))="Sí",SUMIFS(Ajustes!$D$5:$D$18,Ajustes!$A$5:$A$18,"Densidad",Ajustes!$B$5:$B$18,""&amp;$F95),0)+IF(INDEX(Servicios!$F$9:$F$38,MAX(1,$O95))="Sí",SUMIFS(Ajustes!$D$5:$D$18,Ajustes!$A$5:$A$18,"Estado de la fibra",Ajustes!$B$5:$B$18,""&amp;$G95),0)+IF(INDEX(Servicios!$G$9:$G$38,MAX(1,$O95))="Sí",SUMIFS(Ajustes!$D$5:$D$18,Ajustes!$A$5:$A$18,"Canas",Ajustes!$B$5:$B$18,""&amp;$H95),0))*(1+IF(INDEX(Servicios!$D$9:$D$38,MAX(1,$O95))="Sí",SUMIFS(Ajustes!$E$5:$E$18,Ajustes!$A$5:$A$18,"Largo",Ajustes!$B$5:$B$18,""&amp;$E95),0)+IF(INDEX(Servicios!$E$9:$E$38,MAX(1,$O95))="Sí",SUMIFS(Ajustes!$E$5:$E$18,Ajustes!$A$5:$A$18,"Densidad",Ajustes!$B$5:$B$18,""&amp;$F95),0)+IF(INDEX(Servicios!$F$9:$F$38,MAX(1,$O95))="Sí",SUMIFS(Ajustes!$E$5:$E$18,Ajustes!$A$5:$A$18,"Estado de la fibra",Ajustes!$B$5:$B$18,""&amp;$G95),0)+IF(INDEX(Servicios!$G$9:$G$38,MAX(1,$O95))="Sí",SUMIFS(Ajustes!$E$5:$E$18,Ajustes!$A$5:$A$18,"Canas",Ajustes!$B$5:$B$18,""&amp;$H95),0))/MAX(1,Servicios!$E$5),0)*MAX(1,Servicios!$E$5))</f>
        <v/>
      </c>
      <c r="J95" s="11" t="n"/>
      <c r="K95" s="19">
        <f>IF(OR(I95="",J95=""),"",J95-I95)</f>
        <v/>
      </c>
      <c r="L95" s="20">
        <f>IF(OR(I95="",J95="",I95=0),"",J95/I95-1)</f>
        <v/>
      </c>
      <c r="M95" s="5" t="n"/>
      <c r="N95" s="5" t="n"/>
      <c r="O95" s="25">
        <f>IF($D95="",0,IFERROR(MATCH($D95,Servicios!$A$9:$A$38,0),0))</f>
        <v/>
      </c>
      <c r="P95" s="25">
        <f>IF(OR(I95="",J95=""),"",IF(ABS(J95-I95)&lt;=0.05*I95,1,0))</f>
        <v/>
      </c>
    </row>
    <row r="96">
      <c r="A96" s="10" t="n"/>
      <c r="B96" s="5" t="n"/>
      <c r="C96" s="5" t="n"/>
      <c r="D96" s="5" t="n"/>
      <c r="E96" s="5" t="n"/>
      <c r="F96" s="5" t="n"/>
      <c r="G96" s="5" t="n"/>
      <c r="H96" s="5" t="n"/>
      <c r="I96" s="19">
        <f>IF($O96=0,"",ROUND((INDEX(Servicios!$C$9:$C$38,MAX(1,$O96))+IF(INDEX(Servicios!$D$9:$D$38,MAX(1,$O96))="Sí",SUMIFS(Ajustes!$D$5:$D$18,Ajustes!$A$5:$A$18,"Largo",Ajustes!$B$5:$B$18,""&amp;$E96),0)+IF(INDEX(Servicios!$E$9:$E$38,MAX(1,$O96))="Sí",SUMIFS(Ajustes!$D$5:$D$18,Ajustes!$A$5:$A$18,"Densidad",Ajustes!$B$5:$B$18,""&amp;$F96),0)+IF(INDEX(Servicios!$F$9:$F$38,MAX(1,$O96))="Sí",SUMIFS(Ajustes!$D$5:$D$18,Ajustes!$A$5:$A$18,"Estado de la fibra",Ajustes!$B$5:$B$18,""&amp;$G96),0)+IF(INDEX(Servicios!$G$9:$G$38,MAX(1,$O96))="Sí",SUMIFS(Ajustes!$D$5:$D$18,Ajustes!$A$5:$A$18,"Canas",Ajustes!$B$5:$B$18,""&amp;$H96),0))*(1+IF(INDEX(Servicios!$D$9:$D$38,MAX(1,$O96))="Sí",SUMIFS(Ajustes!$E$5:$E$18,Ajustes!$A$5:$A$18,"Largo",Ajustes!$B$5:$B$18,""&amp;$E96),0)+IF(INDEX(Servicios!$E$9:$E$38,MAX(1,$O96))="Sí",SUMIFS(Ajustes!$E$5:$E$18,Ajustes!$A$5:$A$18,"Densidad",Ajustes!$B$5:$B$18,""&amp;$F96),0)+IF(INDEX(Servicios!$F$9:$F$38,MAX(1,$O96))="Sí",SUMIFS(Ajustes!$E$5:$E$18,Ajustes!$A$5:$A$18,"Estado de la fibra",Ajustes!$B$5:$B$18,""&amp;$G96),0)+IF(INDEX(Servicios!$G$9:$G$38,MAX(1,$O96))="Sí",SUMIFS(Ajustes!$E$5:$E$18,Ajustes!$A$5:$A$18,"Canas",Ajustes!$B$5:$B$18,""&amp;$H96),0))/MAX(1,Servicios!$E$5),0)*MAX(1,Servicios!$E$5))</f>
        <v/>
      </c>
      <c r="J96" s="11" t="n"/>
      <c r="K96" s="19">
        <f>IF(OR(I96="",J96=""),"",J96-I96)</f>
        <v/>
      </c>
      <c r="L96" s="20">
        <f>IF(OR(I96="",J96="",I96=0),"",J96/I96-1)</f>
        <v/>
      </c>
      <c r="M96" s="5" t="n"/>
      <c r="N96" s="5" t="n"/>
      <c r="O96" s="25">
        <f>IF($D96="",0,IFERROR(MATCH($D96,Servicios!$A$9:$A$38,0),0))</f>
        <v/>
      </c>
      <c r="P96" s="25">
        <f>IF(OR(I96="",J96=""),"",IF(ABS(J96-I96)&lt;=0.05*I96,1,0))</f>
        <v/>
      </c>
    </row>
    <row r="97">
      <c r="A97" s="10" t="n"/>
      <c r="B97" s="5" t="n"/>
      <c r="C97" s="5" t="n"/>
      <c r="D97" s="5" t="n"/>
      <c r="E97" s="5" t="n"/>
      <c r="F97" s="5" t="n"/>
      <c r="G97" s="5" t="n"/>
      <c r="H97" s="5" t="n"/>
      <c r="I97" s="19">
        <f>IF($O97=0,"",ROUND((INDEX(Servicios!$C$9:$C$38,MAX(1,$O97))+IF(INDEX(Servicios!$D$9:$D$38,MAX(1,$O97))="Sí",SUMIFS(Ajustes!$D$5:$D$18,Ajustes!$A$5:$A$18,"Largo",Ajustes!$B$5:$B$18,""&amp;$E97),0)+IF(INDEX(Servicios!$E$9:$E$38,MAX(1,$O97))="Sí",SUMIFS(Ajustes!$D$5:$D$18,Ajustes!$A$5:$A$18,"Densidad",Ajustes!$B$5:$B$18,""&amp;$F97),0)+IF(INDEX(Servicios!$F$9:$F$38,MAX(1,$O97))="Sí",SUMIFS(Ajustes!$D$5:$D$18,Ajustes!$A$5:$A$18,"Estado de la fibra",Ajustes!$B$5:$B$18,""&amp;$G97),0)+IF(INDEX(Servicios!$G$9:$G$38,MAX(1,$O97))="Sí",SUMIFS(Ajustes!$D$5:$D$18,Ajustes!$A$5:$A$18,"Canas",Ajustes!$B$5:$B$18,""&amp;$H97),0))*(1+IF(INDEX(Servicios!$D$9:$D$38,MAX(1,$O97))="Sí",SUMIFS(Ajustes!$E$5:$E$18,Ajustes!$A$5:$A$18,"Largo",Ajustes!$B$5:$B$18,""&amp;$E97),0)+IF(INDEX(Servicios!$E$9:$E$38,MAX(1,$O97))="Sí",SUMIFS(Ajustes!$E$5:$E$18,Ajustes!$A$5:$A$18,"Densidad",Ajustes!$B$5:$B$18,""&amp;$F97),0)+IF(INDEX(Servicios!$F$9:$F$38,MAX(1,$O97))="Sí",SUMIFS(Ajustes!$E$5:$E$18,Ajustes!$A$5:$A$18,"Estado de la fibra",Ajustes!$B$5:$B$18,""&amp;$G97),0)+IF(INDEX(Servicios!$G$9:$G$38,MAX(1,$O97))="Sí",SUMIFS(Ajustes!$E$5:$E$18,Ajustes!$A$5:$A$18,"Canas",Ajustes!$B$5:$B$18,""&amp;$H97),0))/MAX(1,Servicios!$E$5),0)*MAX(1,Servicios!$E$5))</f>
        <v/>
      </c>
      <c r="J97" s="11" t="n"/>
      <c r="K97" s="19">
        <f>IF(OR(I97="",J97=""),"",J97-I97)</f>
        <v/>
      </c>
      <c r="L97" s="20">
        <f>IF(OR(I97="",J97="",I97=0),"",J97/I97-1)</f>
        <v/>
      </c>
      <c r="M97" s="5" t="n"/>
      <c r="N97" s="5" t="n"/>
      <c r="O97" s="25">
        <f>IF($D97="",0,IFERROR(MATCH($D97,Servicios!$A$9:$A$38,0),0))</f>
        <v/>
      </c>
      <c r="P97" s="25">
        <f>IF(OR(I97="",J97=""),"",IF(ABS(J97-I97)&lt;=0.05*I97,1,0))</f>
        <v/>
      </c>
    </row>
    <row r="98">
      <c r="A98" s="10" t="n"/>
      <c r="B98" s="5" t="n"/>
      <c r="C98" s="5" t="n"/>
      <c r="D98" s="5" t="n"/>
      <c r="E98" s="5" t="n"/>
      <c r="F98" s="5" t="n"/>
      <c r="G98" s="5" t="n"/>
      <c r="H98" s="5" t="n"/>
      <c r="I98" s="19">
        <f>IF($O98=0,"",ROUND((INDEX(Servicios!$C$9:$C$38,MAX(1,$O98))+IF(INDEX(Servicios!$D$9:$D$38,MAX(1,$O98))="Sí",SUMIFS(Ajustes!$D$5:$D$18,Ajustes!$A$5:$A$18,"Largo",Ajustes!$B$5:$B$18,""&amp;$E98),0)+IF(INDEX(Servicios!$E$9:$E$38,MAX(1,$O98))="Sí",SUMIFS(Ajustes!$D$5:$D$18,Ajustes!$A$5:$A$18,"Densidad",Ajustes!$B$5:$B$18,""&amp;$F98),0)+IF(INDEX(Servicios!$F$9:$F$38,MAX(1,$O98))="Sí",SUMIFS(Ajustes!$D$5:$D$18,Ajustes!$A$5:$A$18,"Estado de la fibra",Ajustes!$B$5:$B$18,""&amp;$G98),0)+IF(INDEX(Servicios!$G$9:$G$38,MAX(1,$O98))="Sí",SUMIFS(Ajustes!$D$5:$D$18,Ajustes!$A$5:$A$18,"Canas",Ajustes!$B$5:$B$18,""&amp;$H98),0))*(1+IF(INDEX(Servicios!$D$9:$D$38,MAX(1,$O98))="Sí",SUMIFS(Ajustes!$E$5:$E$18,Ajustes!$A$5:$A$18,"Largo",Ajustes!$B$5:$B$18,""&amp;$E98),0)+IF(INDEX(Servicios!$E$9:$E$38,MAX(1,$O98))="Sí",SUMIFS(Ajustes!$E$5:$E$18,Ajustes!$A$5:$A$18,"Densidad",Ajustes!$B$5:$B$18,""&amp;$F98),0)+IF(INDEX(Servicios!$F$9:$F$38,MAX(1,$O98))="Sí",SUMIFS(Ajustes!$E$5:$E$18,Ajustes!$A$5:$A$18,"Estado de la fibra",Ajustes!$B$5:$B$18,""&amp;$G98),0)+IF(INDEX(Servicios!$G$9:$G$38,MAX(1,$O98))="Sí",SUMIFS(Ajustes!$E$5:$E$18,Ajustes!$A$5:$A$18,"Canas",Ajustes!$B$5:$B$18,""&amp;$H98),0))/MAX(1,Servicios!$E$5),0)*MAX(1,Servicios!$E$5))</f>
        <v/>
      </c>
      <c r="J98" s="11" t="n"/>
      <c r="K98" s="19">
        <f>IF(OR(I98="",J98=""),"",J98-I98)</f>
        <v/>
      </c>
      <c r="L98" s="20">
        <f>IF(OR(I98="",J98="",I98=0),"",J98/I98-1)</f>
        <v/>
      </c>
      <c r="M98" s="5" t="n"/>
      <c r="N98" s="5" t="n"/>
      <c r="O98" s="25">
        <f>IF($D98="",0,IFERROR(MATCH($D98,Servicios!$A$9:$A$38,0),0))</f>
        <v/>
      </c>
      <c r="P98" s="25">
        <f>IF(OR(I98="",J98=""),"",IF(ABS(J98-I98)&lt;=0.05*I98,1,0))</f>
        <v/>
      </c>
    </row>
    <row r="99">
      <c r="A99" s="10" t="n"/>
      <c r="B99" s="5" t="n"/>
      <c r="C99" s="5" t="n"/>
      <c r="D99" s="5" t="n"/>
      <c r="E99" s="5" t="n"/>
      <c r="F99" s="5" t="n"/>
      <c r="G99" s="5" t="n"/>
      <c r="H99" s="5" t="n"/>
      <c r="I99" s="19">
        <f>IF($O99=0,"",ROUND((INDEX(Servicios!$C$9:$C$38,MAX(1,$O99))+IF(INDEX(Servicios!$D$9:$D$38,MAX(1,$O99))="Sí",SUMIFS(Ajustes!$D$5:$D$18,Ajustes!$A$5:$A$18,"Largo",Ajustes!$B$5:$B$18,""&amp;$E99),0)+IF(INDEX(Servicios!$E$9:$E$38,MAX(1,$O99))="Sí",SUMIFS(Ajustes!$D$5:$D$18,Ajustes!$A$5:$A$18,"Densidad",Ajustes!$B$5:$B$18,""&amp;$F99),0)+IF(INDEX(Servicios!$F$9:$F$38,MAX(1,$O99))="Sí",SUMIFS(Ajustes!$D$5:$D$18,Ajustes!$A$5:$A$18,"Estado de la fibra",Ajustes!$B$5:$B$18,""&amp;$G99),0)+IF(INDEX(Servicios!$G$9:$G$38,MAX(1,$O99))="Sí",SUMIFS(Ajustes!$D$5:$D$18,Ajustes!$A$5:$A$18,"Canas",Ajustes!$B$5:$B$18,""&amp;$H99),0))*(1+IF(INDEX(Servicios!$D$9:$D$38,MAX(1,$O99))="Sí",SUMIFS(Ajustes!$E$5:$E$18,Ajustes!$A$5:$A$18,"Largo",Ajustes!$B$5:$B$18,""&amp;$E99),0)+IF(INDEX(Servicios!$E$9:$E$38,MAX(1,$O99))="Sí",SUMIFS(Ajustes!$E$5:$E$18,Ajustes!$A$5:$A$18,"Densidad",Ajustes!$B$5:$B$18,""&amp;$F99),0)+IF(INDEX(Servicios!$F$9:$F$38,MAX(1,$O99))="Sí",SUMIFS(Ajustes!$E$5:$E$18,Ajustes!$A$5:$A$18,"Estado de la fibra",Ajustes!$B$5:$B$18,""&amp;$G99),0)+IF(INDEX(Servicios!$G$9:$G$38,MAX(1,$O99))="Sí",SUMIFS(Ajustes!$E$5:$E$18,Ajustes!$A$5:$A$18,"Canas",Ajustes!$B$5:$B$18,""&amp;$H99),0))/MAX(1,Servicios!$E$5),0)*MAX(1,Servicios!$E$5))</f>
        <v/>
      </c>
      <c r="J99" s="11" t="n"/>
      <c r="K99" s="19">
        <f>IF(OR(I99="",J99=""),"",J99-I99)</f>
        <v/>
      </c>
      <c r="L99" s="20">
        <f>IF(OR(I99="",J99="",I99=0),"",J99/I99-1)</f>
        <v/>
      </c>
      <c r="M99" s="5" t="n"/>
      <c r="N99" s="5" t="n"/>
      <c r="O99" s="25">
        <f>IF($D99="",0,IFERROR(MATCH($D99,Servicios!$A$9:$A$38,0),0))</f>
        <v/>
      </c>
      <c r="P99" s="25">
        <f>IF(OR(I99="",J99=""),"",IF(ABS(J99-I99)&lt;=0.05*I99,1,0))</f>
        <v/>
      </c>
    </row>
    <row r="100">
      <c r="A100" s="10" t="n"/>
      <c r="B100" s="5" t="n"/>
      <c r="C100" s="5" t="n"/>
      <c r="D100" s="5" t="n"/>
      <c r="E100" s="5" t="n"/>
      <c r="F100" s="5" t="n"/>
      <c r="G100" s="5" t="n"/>
      <c r="H100" s="5" t="n"/>
      <c r="I100" s="19">
        <f>IF($O100=0,"",ROUND((INDEX(Servicios!$C$9:$C$38,MAX(1,$O100))+IF(INDEX(Servicios!$D$9:$D$38,MAX(1,$O100))="Sí",SUMIFS(Ajustes!$D$5:$D$18,Ajustes!$A$5:$A$18,"Largo",Ajustes!$B$5:$B$18,""&amp;$E100),0)+IF(INDEX(Servicios!$E$9:$E$38,MAX(1,$O100))="Sí",SUMIFS(Ajustes!$D$5:$D$18,Ajustes!$A$5:$A$18,"Densidad",Ajustes!$B$5:$B$18,""&amp;$F100),0)+IF(INDEX(Servicios!$F$9:$F$38,MAX(1,$O100))="Sí",SUMIFS(Ajustes!$D$5:$D$18,Ajustes!$A$5:$A$18,"Estado de la fibra",Ajustes!$B$5:$B$18,""&amp;$G100),0)+IF(INDEX(Servicios!$G$9:$G$38,MAX(1,$O100))="Sí",SUMIFS(Ajustes!$D$5:$D$18,Ajustes!$A$5:$A$18,"Canas",Ajustes!$B$5:$B$18,""&amp;$H100),0))*(1+IF(INDEX(Servicios!$D$9:$D$38,MAX(1,$O100))="Sí",SUMIFS(Ajustes!$E$5:$E$18,Ajustes!$A$5:$A$18,"Largo",Ajustes!$B$5:$B$18,""&amp;$E100),0)+IF(INDEX(Servicios!$E$9:$E$38,MAX(1,$O100))="Sí",SUMIFS(Ajustes!$E$5:$E$18,Ajustes!$A$5:$A$18,"Densidad",Ajustes!$B$5:$B$18,""&amp;$F100),0)+IF(INDEX(Servicios!$F$9:$F$38,MAX(1,$O100))="Sí",SUMIFS(Ajustes!$E$5:$E$18,Ajustes!$A$5:$A$18,"Estado de la fibra",Ajustes!$B$5:$B$18,""&amp;$G100),0)+IF(INDEX(Servicios!$G$9:$G$38,MAX(1,$O100))="Sí",SUMIFS(Ajustes!$E$5:$E$18,Ajustes!$A$5:$A$18,"Canas",Ajustes!$B$5:$B$18,""&amp;$H100),0))/MAX(1,Servicios!$E$5),0)*MAX(1,Servicios!$E$5))</f>
        <v/>
      </c>
      <c r="J100" s="11" t="n"/>
      <c r="K100" s="19">
        <f>IF(OR(I100="",J100=""),"",J100-I100)</f>
        <v/>
      </c>
      <c r="L100" s="20">
        <f>IF(OR(I100="",J100="",I100=0),"",J100/I100-1)</f>
        <v/>
      </c>
      <c r="M100" s="5" t="n"/>
      <c r="N100" s="5" t="n"/>
      <c r="O100" s="25">
        <f>IF($D100="",0,IFERROR(MATCH($D100,Servicios!$A$9:$A$38,0),0))</f>
        <v/>
      </c>
      <c r="P100" s="25">
        <f>IF(OR(I100="",J100=""),"",IF(ABS(J100-I100)&lt;=0.05*I100,1,0))</f>
        <v/>
      </c>
    </row>
    <row r="101">
      <c r="A101" s="10" t="n"/>
      <c r="B101" s="5" t="n"/>
      <c r="C101" s="5" t="n"/>
      <c r="D101" s="5" t="n"/>
      <c r="E101" s="5" t="n"/>
      <c r="F101" s="5" t="n"/>
      <c r="G101" s="5" t="n"/>
      <c r="H101" s="5" t="n"/>
      <c r="I101" s="19">
        <f>IF($O101=0,"",ROUND((INDEX(Servicios!$C$9:$C$38,MAX(1,$O101))+IF(INDEX(Servicios!$D$9:$D$38,MAX(1,$O101))="Sí",SUMIFS(Ajustes!$D$5:$D$18,Ajustes!$A$5:$A$18,"Largo",Ajustes!$B$5:$B$18,""&amp;$E101),0)+IF(INDEX(Servicios!$E$9:$E$38,MAX(1,$O101))="Sí",SUMIFS(Ajustes!$D$5:$D$18,Ajustes!$A$5:$A$18,"Densidad",Ajustes!$B$5:$B$18,""&amp;$F101),0)+IF(INDEX(Servicios!$F$9:$F$38,MAX(1,$O101))="Sí",SUMIFS(Ajustes!$D$5:$D$18,Ajustes!$A$5:$A$18,"Estado de la fibra",Ajustes!$B$5:$B$18,""&amp;$G101),0)+IF(INDEX(Servicios!$G$9:$G$38,MAX(1,$O101))="Sí",SUMIFS(Ajustes!$D$5:$D$18,Ajustes!$A$5:$A$18,"Canas",Ajustes!$B$5:$B$18,""&amp;$H101),0))*(1+IF(INDEX(Servicios!$D$9:$D$38,MAX(1,$O101))="Sí",SUMIFS(Ajustes!$E$5:$E$18,Ajustes!$A$5:$A$18,"Largo",Ajustes!$B$5:$B$18,""&amp;$E101),0)+IF(INDEX(Servicios!$E$9:$E$38,MAX(1,$O101))="Sí",SUMIFS(Ajustes!$E$5:$E$18,Ajustes!$A$5:$A$18,"Densidad",Ajustes!$B$5:$B$18,""&amp;$F101),0)+IF(INDEX(Servicios!$F$9:$F$38,MAX(1,$O101))="Sí",SUMIFS(Ajustes!$E$5:$E$18,Ajustes!$A$5:$A$18,"Estado de la fibra",Ajustes!$B$5:$B$18,""&amp;$G101),0)+IF(INDEX(Servicios!$G$9:$G$38,MAX(1,$O101))="Sí",SUMIFS(Ajustes!$E$5:$E$18,Ajustes!$A$5:$A$18,"Canas",Ajustes!$B$5:$B$18,""&amp;$H101),0))/MAX(1,Servicios!$E$5),0)*MAX(1,Servicios!$E$5))</f>
        <v/>
      </c>
      <c r="J101" s="11" t="n"/>
      <c r="K101" s="19">
        <f>IF(OR(I101="",J101=""),"",J101-I101)</f>
        <v/>
      </c>
      <c r="L101" s="20">
        <f>IF(OR(I101="",J101="",I101=0),"",J101/I101-1)</f>
        <v/>
      </c>
      <c r="M101" s="5" t="n"/>
      <c r="N101" s="5" t="n"/>
      <c r="O101" s="25">
        <f>IF($D101="",0,IFERROR(MATCH($D101,Servicios!$A$9:$A$38,0),0))</f>
        <v/>
      </c>
      <c r="P101" s="25">
        <f>IF(OR(I101="",J101=""),"",IF(ABS(J101-I101)&lt;=0.05*I101,1,0))</f>
        <v/>
      </c>
    </row>
    <row r="102">
      <c r="A102" s="10" t="n"/>
      <c r="B102" s="5" t="n"/>
      <c r="C102" s="5" t="n"/>
      <c r="D102" s="5" t="n"/>
      <c r="E102" s="5" t="n"/>
      <c r="F102" s="5" t="n"/>
      <c r="G102" s="5" t="n"/>
      <c r="H102" s="5" t="n"/>
      <c r="I102" s="19">
        <f>IF($O102=0,"",ROUND((INDEX(Servicios!$C$9:$C$38,MAX(1,$O102))+IF(INDEX(Servicios!$D$9:$D$38,MAX(1,$O102))="Sí",SUMIFS(Ajustes!$D$5:$D$18,Ajustes!$A$5:$A$18,"Largo",Ajustes!$B$5:$B$18,""&amp;$E102),0)+IF(INDEX(Servicios!$E$9:$E$38,MAX(1,$O102))="Sí",SUMIFS(Ajustes!$D$5:$D$18,Ajustes!$A$5:$A$18,"Densidad",Ajustes!$B$5:$B$18,""&amp;$F102),0)+IF(INDEX(Servicios!$F$9:$F$38,MAX(1,$O102))="Sí",SUMIFS(Ajustes!$D$5:$D$18,Ajustes!$A$5:$A$18,"Estado de la fibra",Ajustes!$B$5:$B$18,""&amp;$G102),0)+IF(INDEX(Servicios!$G$9:$G$38,MAX(1,$O102))="Sí",SUMIFS(Ajustes!$D$5:$D$18,Ajustes!$A$5:$A$18,"Canas",Ajustes!$B$5:$B$18,""&amp;$H102),0))*(1+IF(INDEX(Servicios!$D$9:$D$38,MAX(1,$O102))="Sí",SUMIFS(Ajustes!$E$5:$E$18,Ajustes!$A$5:$A$18,"Largo",Ajustes!$B$5:$B$18,""&amp;$E102),0)+IF(INDEX(Servicios!$E$9:$E$38,MAX(1,$O102))="Sí",SUMIFS(Ajustes!$E$5:$E$18,Ajustes!$A$5:$A$18,"Densidad",Ajustes!$B$5:$B$18,""&amp;$F102),0)+IF(INDEX(Servicios!$F$9:$F$38,MAX(1,$O102))="Sí",SUMIFS(Ajustes!$E$5:$E$18,Ajustes!$A$5:$A$18,"Estado de la fibra",Ajustes!$B$5:$B$18,""&amp;$G102),0)+IF(INDEX(Servicios!$G$9:$G$38,MAX(1,$O102))="Sí",SUMIFS(Ajustes!$E$5:$E$18,Ajustes!$A$5:$A$18,"Canas",Ajustes!$B$5:$B$18,""&amp;$H102),0))/MAX(1,Servicios!$E$5),0)*MAX(1,Servicios!$E$5))</f>
        <v/>
      </c>
      <c r="J102" s="11" t="n"/>
      <c r="K102" s="19">
        <f>IF(OR(I102="",J102=""),"",J102-I102)</f>
        <v/>
      </c>
      <c r="L102" s="20">
        <f>IF(OR(I102="",J102="",I102=0),"",J102/I102-1)</f>
        <v/>
      </c>
      <c r="M102" s="5" t="n"/>
      <c r="N102" s="5" t="n"/>
      <c r="O102" s="25">
        <f>IF($D102="",0,IFERROR(MATCH($D102,Servicios!$A$9:$A$38,0),0))</f>
        <v/>
      </c>
      <c r="P102" s="25">
        <f>IF(OR(I102="",J102=""),"",IF(ABS(J102-I102)&lt;=0.05*I102,1,0))</f>
        <v/>
      </c>
    </row>
    <row r="103">
      <c r="A103" s="10" t="n"/>
      <c r="B103" s="5" t="n"/>
      <c r="C103" s="5" t="n"/>
      <c r="D103" s="5" t="n"/>
      <c r="E103" s="5" t="n"/>
      <c r="F103" s="5" t="n"/>
      <c r="G103" s="5" t="n"/>
      <c r="H103" s="5" t="n"/>
      <c r="I103" s="19">
        <f>IF($O103=0,"",ROUND((INDEX(Servicios!$C$9:$C$38,MAX(1,$O103))+IF(INDEX(Servicios!$D$9:$D$38,MAX(1,$O103))="Sí",SUMIFS(Ajustes!$D$5:$D$18,Ajustes!$A$5:$A$18,"Largo",Ajustes!$B$5:$B$18,""&amp;$E103),0)+IF(INDEX(Servicios!$E$9:$E$38,MAX(1,$O103))="Sí",SUMIFS(Ajustes!$D$5:$D$18,Ajustes!$A$5:$A$18,"Densidad",Ajustes!$B$5:$B$18,""&amp;$F103),0)+IF(INDEX(Servicios!$F$9:$F$38,MAX(1,$O103))="Sí",SUMIFS(Ajustes!$D$5:$D$18,Ajustes!$A$5:$A$18,"Estado de la fibra",Ajustes!$B$5:$B$18,""&amp;$G103),0)+IF(INDEX(Servicios!$G$9:$G$38,MAX(1,$O103))="Sí",SUMIFS(Ajustes!$D$5:$D$18,Ajustes!$A$5:$A$18,"Canas",Ajustes!$B$5:$B$18,""&amp;$H103),0))*(1+IF(INDEX(Servicios!$D$9:$D$38,MAX(1,$O103))="Sí",SUMIFS(Ajustes!$E$5:$E$18,Ajustes!$A$5:$A$18,"Largo",Ajustes!$B$5:$B$18,""&amp;$E103),0)+IF(INDEX(Servicios!$E$9:$E$38,MAX(1,$O103))="Sí",SUMIFS(Ajustes!$E$5:$E$18,Ajustes!$A$5:$A$18,"Densidad",Ajustes!$B$5:$B$18,""&amp;$F103),0)+IF(INDEX(Servicios!$F$9:$F$38,MAX(1,$O103))="Sí",SUMIFS(Ajustes!$E$5:$E$18,Ajustes!$A$5:$A$18,"Estado de la fibra",Ajustes!$B$5:$B$18,""&amp;$G103),0)+IF(INDEX(Servicios!$G$9:$G$38,MAX(1,$O103))="Sí",SUMIFS(Ajustes!$E$5:$E$18,Ajustes!$A$5:$A$18,"Canas",Ajustes!$B$5:$B$18,""&amp;$H103),0))/MAX(1,Servicios!$E$5),0)*MAX(1,Servicios!$E$5))</f>
        <v/>
      </c>
      <c r="J103" s="11" t="n"/>
      <c r="K103" s="19">
        <f>IF(OR(I103="",J103=""),"",J103-I103)</f>
        <v/>
      </c>
      <c r="L103" s="20">
        <f>IF(OR(I103="",J103="",I103=0),"",J103/I103-1)</f>
        <v/>
      </c>
      <c r="M103" s="5" t="n"/>
      <c r="N103" s="5" t="n"/>
      <c r="O103" s="25">
        <f>IF($D103="",0,IFERROR(MATCH($D103,Servicios!$A$9:$A$38,0),0))</f>
        <v/>
      </c>
      <c r="P103" s="25">
        <f>IF(OR(I103="",J103=""),"",IF(ABS(J103-I103)&lt;=0.05*I103,1,0))</f>
        <v/>
      </c>
    </row>
    <row r="104">
      <c r="A104" s="10" t="n"/>
      <c r="B104" s="5" t="n"/>
      <c r="C104" s="5" t="n"/>
      <c r="D104" s="5" t="n"/>
      <c r="E104" s="5" t="n"/>
      <c r="F104" s="5" t="n"/>
      <c r="G104" s="5" t="n"/>
      <c r="H104" s="5" t="n"/>
      <c r="I104" s="19">
        <f>IF($O104=0,"",ROUND((INDEX(Servicios!$C$9:$C$38,MAX(1,$O104))+IF(INDEX(Servicios!$D$9:$D$38,MAX(1,$O104))="Sí",SUMIFS(Ajustes!$D$5:$D$18,Ajustes!$A$5:$A$18,"Largo",Ajustes!$B$5:$B$18,""&amp;$E104),0)+IF(INDEX(Servicios!$E$9:$E$38,MAX(1,$O104))="Sí",SUMIFS(Ajustes!$D$5:$D$18,Ajustes!$A$5:$A$18,"Densidad",Ajustes!$B$5:$B$18,""&amp;$F104),0)+IF(INDEX(Servicios!$F$9:$F$38,MAX(1,$O104))="Sí",SUMIFS(Ajustes!$D$5:$D$18,Ajustes!$A$5:$A$18,"Estado de la fibra",Ajustes!$B$5:$B$18,""&amp;$G104),0)+IF(INDEX(Servicios!$G$9:$G$38,MAX(1,$O104))="Sí",SUMIFS(Ajustes!$D$5:$D$18,Ajustes!$A$5:$A$18,"Canas",Ajustes!$B$5:$B$18,""&amp;$H104),0))*(1+IF(INDEX(Servicios!$D$9:$D$38,MAX(1,$O104))="Sí",SUMIFS(Ajustes!$E$5:$E$18,Ajustes!$A$5:$A$18,"Largo",Ajustes!$B$5:$B$18,""&amp;$E104),0)+IF(INDEX(Servicios!$E$9:$E$38,MAX(1,$O104))="Sí",SUMIFS(Ajustes!$E$5:$E$18,Ajustes!$A$5:$A$18,"Densidad",Ajustes!$B$5:$B$18,""&amp;$F104),0)+IF(INDEX(Servicios!$F$9:$F$38,MAX(1,$O104))="Sí",SUMIFS(Ajustes!$E$5:$E$18,Ajustes!$A$5:$A$18,"Estado de la fibra",Ajustes!$B$5:$B$18,""&amp;$G104),0)+IF(INDEX(Servicios!$G$9:$G$38,MAX(1,$O104))="Sí",SUMIFS(Ajustes!$E$5:$E$18,Ajustes!$A$5:$A$18,"Canas",Ajustes!$B$5:$B$18,""&amp;$H104),0))/MAX(1,Servicios!$E$5),0)*MAX(1,Servicios!$E$5))</f>
        <v/>
      </c>
      <c r="J104" s="11" t="n"/>
      <c r="K104" s="19">
        <f>IF(OR(I104="",J104=""),"",J104-I104)</f>
        <v/>
      </c>
      <c r="L104" s="20">
        <f>IF(OR(I104="",J104="",I104=0),"",J104/I104-1)</f>
        <v/>
      </c>
      <c r="M104" s="5" t="n"/>
      <c r="N104" s="5" t="n"/>
      <c r="O104" s="25">
        <f>IF($D104="",0,IFERROR(MATCH($D104,Servicios!$A$9:$A$38,0),0))</f>
        <v/>
      </c>
      <c r="P104" s="25">
        <f>IF(OR(I104="",J104=""),"",IF(ABS(J104-I104)&lt;=0.05*I104,1,0))</f>
        <v/>
      </c>
    </row>
  </sheetData>
  <mergeCells count="1">
    <mergeCell ref="A2:P2"/>
  </mergeCells>
  <dataValidations count="6">
    <dataValidation sqref="B5:B104" showDropDown="0" showInputMessage="0" showErrorMessage="0" allowBlank="1" errorTitle="Valor no válido" error="Elige un valor de la lista." type="list">
      <formula1>Comisiones!$A$5:$A$19</formula1>
    </dataValidation>
    <dataValidation sqref="D5:D104" showDropDown="0" showInputMessage="0" showErrorMessage="0" allowBlank="1" errorTitle="Valor no válido" error="Elige un valor de la lista." type="list">
      <formula1>Servicios!$A$9:$A$38</formula1>
    </dataValidation>
    <dataValidation sqref="E5:E104" showDropDown="0" showInputMessage="0" showErrorMessage="0" allowBlank="1" errorTitle="Valor no válido" error="Elige un valor de la lista." type="list">
      <formula1>Ajustes!$B$5:$B$8</formula1>
    </dataValidation>
    <dataValidation sqref="F5:F104" showDropDown="0" showInputMessage="0" showErrorMessage="0" allowBlank="1" errorTitle="Valor no válido" error="Elige un valor de la lista." type="list">
      <formula1>Ajustes!$B$9:$B$11</formula1>
    </dataValidation>
    <dataValidation sqref="G5:G104" showDropDown="0" showInputMessage="0" showErrorMessage="0" allowBlank="1" errorTitle="Valor no válido" error="Elige un valor de la lista." type="list">
      <formula1>Ajustes!$B$12:$B$14</formula1>
    </dataValidation>
    <dataValidation sqref="H5:H104" showDropDown="0" showInputMessage="0" showErrorMessage="0" allowBlank="1" errorTitle="Valor no válido" error="Elige un valor de la lista." type="list">
      <formula1>Ajustes!$B$15:$B$18</formula1>
    </dataValidation>
  </dataValidation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26" customWidth="1" min="3" max="3"/>
    <col width="22" customWidth="1" min="4" max="4"/>
  </cols>
  <sheetData>
    <row r="1">
      <c r="A1" s="1" t="inlineStr">
        <is>
          <t>Resumen de la prueba</t>
        </is>
      </c>
      <c r="B1" s="2" t="n"/>
      <c r="C1" s="2" t="n"/>
      <c r="D1" s="2" t="n"/>
    </row>
    <row r="2" ht="30" customHeight="1">
      <c r="A2" s="8" t="inlineStr">
        <is>
          <t>Se llena solo con lo anotado en Registro. Responde: ¿el salón cobra lo que dice la hoja? ¿Quién se separa y cuánto?</t>
        </is>
      </c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9" t="inlineStr">
        <is>
          <t>Casos con precio de la hoja y cobro</t>
        </is>
      </c>
      <c r="B4" s="32">
        <f>COUNT(Registro!$P$5:$P$104)</f>
        <v/>
      </c>
      <c r="C4" s="2" t="n"/>
      <c r="D4" s="2" t="n"/>
    </row>
    <row r="5">
      <c r="A5" s="9" t="inlineStr">
        <is>
          <t>Cobrados al precio de la hoja (±5 %)</t>
        </is>
      </c>
      <c r="B5" s="33">
        <f>IF(B4=0,0,SUM(Registro!$P$5:$P$104)/B4)</f>
        <v/>
      </c>
      <c r="C5" s="2" t="n"/>
      <c r="D5" s="2" t="n"/>
    </row>
    <row r="6">
      <c r="A6" s="9" t="inlineStr">
        <is>
          <t>Lo cobrado frente a la hoja (todos los casos)</t>
        </is>
      </c>
      <c r="B6" s="33">
        <f>IF(SUMIFS(Registro!$I$5:$I$104,Registro!$P$5:$P$104,"&gt;=0")=0,0,SUMIFS(Registro!$J$5:$J$104,Registro!$P$5:$P$104,"&gt;=0")/SUMIFS(Registro!$I$5:$I$104,Registro!$P$5:$P$104,"&gt;=0")-1)</f>
        <v/>
      </c>
      <c r="C6" s="26" t="inlineStr">
        <is>
          <t>Positivo: se cobró más que la hoja. Negativo: menos.</t>
        </is>
      </c>
      <c r="D6" s="2" t="n"/>
    </row>
    <row r="7">
      <c r="A7" s="2" t="n"/>
      <c r="B7" s="2" t="n"/>
      <c r="C7" s="2" t="n"/>
      <c r="D7" s="2" t="n"/>
    </row>
    <row r="8" ht="32" customHeight="1">
      <c r="A8" s="13" t="inlineStr">
        <is>
          <t>Estilista</t>
        </is>
      </c>
      <c r="B8" s="13" t="inlineStr">
        <is>
          <t>Casos</t>
        </is>
      </c>
      <c r="C8" s="13" t="inlineStr">
        <is>
          <t>Cobró frente a la hoja</t>
        </is>
      </c>
      <c r="D8" s="13" t="inlineStr">
        <is>
          <t>Casos fuera de ±5 %</t>
        </is>
      </c>
    </row>
    <row r="9">
      <c r="A9" s="7">
        <f>IF(Comisiones!$A$5="","",Comisiones!$A$5)</f>
        <v/>
      </c>
      <c r="B9" s="25">
        <f>IF(A9="","",COUNTIFS(Registro!$B$5:$B$104,""&amp;A9,Registro!$P$5:$P$104,"&gt;=0"))</f>
        <v/>
      </c>
      <c r="C9" s="20">
        <f>IF(A9="","",IF(B9=0,"",SUMIFS(Registro!$J$5:$J$104,Registro!$B$5:$B$104,""&amp;A9,Registro!$P$5:$P$104,"&gt;=0")/SUMIFS(Registro!$I$5:$I$104,Registro!$B$5:$B$104,""&amp;A9,Registro!$P$5:$P$104,"&gt;=0")-1))</f>
        <v/>
      </c>
      <c r="D9" s="25">
        <f>IF(A9="","",IF(B9=0,"",COUNTIFS(Registro!$B$5:$B$104,""&amp;A9,Registro!$P$5:$P$104,0)))</f>
        <v/>
      </c>
    </row>
    <row r="10">
      <c r="A10" s="7">
        <f>IF(Comisiones!$A$6="","",Comisiones!$A$6)</f>
        <v/>
      </c>
      <c r="B10" s="25">
        <f>IF(A10="","",COUNTIFS(Registro!$B$5:$B$104,""&amp;A10,Registro!$P$5:$P$104,"&gt;=0"))</f>
        <v/>
      </c>
      <c r="C10" s="20">
        <f>IF(A10="","",IF(B10=0,"",SUMIFS(Registro!$J$5:$J$104,Registro!$B$5:$B$104,""&amp;A10,Registro!$P$5:$P$104,"&gt;=0")/SUMIFS(Registro!$I$5:$I$104,Registro!$B$5:$B$104,""&amp;A10,Registro!$P$5:$P$104,"&gt;=0")-1))</f>
        <v/>
      </c>
      <c r="D10" s="25">
        <f>IF(A10="","",IF(B10=0,"",COUNTIFS(Registro!$B$5:$B$104,""&amp;A10,Registro!$P$5:$P$104,0)))</f>
        <v/>
      </c>
    </row>
    <row r="11">
      <c r="A11" s="7">
        <f>IF(Comisiones!$A$7="","",Comisiones!$A$7)</f>
        <v/>
      </c>
      <c r="B11" s="25">
        <f>IF(A11="","",COUNTIFS(Registro!$B$5:$B$104,""&amp;A11,Registro!$P$5:$P$104,"&gt;=0"))</f>
        <v/>
      </c>
      <c r="C11" s="20">
        <f>IF(A11="","",IF(B11=0,"",SUMIFS(Registro!$J$5:$J$104,Registro!$B$5:$B$104,""&amp;A11,Registro!$P$5:$P$104,"&gt;=0")/SUMIFS(Registro!$I$5:$I$104,Registro!$B$5:$B$104,""&amp;A11,Registro!$P$5:$P$104,"&gt;=0")-1))</f>
        <v/>
      </c>
      <c r="D11" s="25">
        <f>IF(A11="","",IF(B11=0,"",COUNTIFS(Registro!$B$5:$B$104,""&amp;A11,Registro!$P$5:$P$104,0)))</f>
        <v/>
      </c>
    </row>
    <row r="12">
      <c r="A12" s="7">
        <f>IF(Comisiones!$A$8="","",Comisiones!$A$8)</f>
        <v/>
      </c>
      <c r="B12" s="25">
        <f>IF(A12="","",COUNTIFS(Registro!$B$5:$B$104,""&amp;A12,Registro!$P$5:$P$104,"&gt;=0"))</f>
        <v/>
      </c>
      <c r="C12" s="20">
        <f>IF(A12="","",IF(B12=0,"",SUMIFS(Registro!$J$5:$J$104,Registro!$B$5:$B$104,""&amp;A12,Registro!$P$5:$P$104,"&gt;=0")/SUMIFS(Registro!$I$5:$I$104,Registro!$B$5:$B$104,""&amp;A12,Registro!$P$5:$P$104,"&gt;=0")-1))</f>
        <v/>
      </c>
      <c r="D12" s="25">
        <f>IF(A12="","",IF(B12=0,"",COUNTIFS(Registro!$B$5:$B$104,""&amp;A12,Registro!$P$5:$P$104,0)))</f>
        <v/>
      </c>
    </row>
    <row r="13">
      <c r="A13" s="7">
        <f>IF(Comisiones!$A$9="","",Comisiones!$A$9)</f>
        <v/>
      </c>
      <c r="B13" s="25">
        <f>IF(A13="","",COUNTIFS(Registro!$B$5:$B$104,""&amp;A13,Registro!$P$5:$P$104,"&gt;=0"))</f>
        <v/>
      </c>
      <c r="C13" s="20">
        <f>IF(A13="","",IF(B13=0,"",SUMIFS(Registro!$J$5:$J$104,Registro!$B$5:$B$104,""&amp;A13,Registro!$P$5:$P$104,"&gt;=0")/SUMIFS(Registro!$I$5:$I$104,Registro!$B$5:$B$104,""&amp;A13,Registro!$P$5:$P$104,"&gt;=0")-1))</f>
        <v/>
      </c>
      <c r="D13" s="25">
        <f>IF(A13="","",IF(B13=0,"",COUNTIFS(Registro!$B$5:$B$104,""&amp;A13,Registro!$P$5:$P$104,0)))</f>
        <v/>
      </c>
    </row>
    <row r="14">
      <c r="A14" s="7">
        <f>IF(Comisiones!$A$10="","",Comisiones!$A$10)</f>
        <v/>
      </c>
      <c r="B14" s="25">
        <f>IF(A14="","",COUNTIFS(Registro!$B$5:$B$104,""&amp;A14,Registro!$P$5:$P$104,"&gt;=0"))</f>
        <v/>
      </c>
      <c r="C14" s="20">
        <f>IF(A14="","",IF(B14=0,"",SUMIFS(Registro!$J$5:$J$104,Registro!$B$5:$B$104,""&amp;A14,Registro!$P$5:$P$104,"&gt;=0")/SUMIFS(Registro!$I$5:$I$104,Registro!$B$5:$B$104,""&amp;A14,Registro!$P$5:$P$104,"&gt;=0")-1))</f>
        <v/>
      </c>
      <c r="D14" s="25">
        <f>IF(A14="","",IF(B14=0,"",COUNTIFS(Registro!$B$5:$B$104,""&amp;A14,Registro!$P$5:$P$104,0)))</f>
        <v/>
      </c>
    </row>
    <row r="15">
      <c r="A15" s="7">
        <f>IF(Comisiones!$A$11="","",Comisiones!$A$11)</f>
        <v/>
      </c>
      <c r="B15" s="25">
        <f>IF(A15="","",COUNTIFS(Registro!$B$5:$B$104,""&amp;A15,Registro!$P$5:$P$104,"&gt;=0"))</f>
        <v/>
      </c>
      <c r="C15" s="20">
        <f>IF(A15="","",IF(B15=0,"",SUMIFS(Registro!$J$5:$J$104,Registro!$B$5:$B$104,""&amp;A15,Registro!$P$5:$P$104,"&gt;=0")/SUMIFS(Registro!$I$5:$I$104,Registro!$B$5:$B$104,""&amp;A15,Registro!$P$5:$P$104,"&gt;=0")-1))</f>
        <v/>
      </c>
      <c r="D15" s="25">
        <f>IF(A15="","",IF(B15=0,"",COUNTIFS(Registro!$B$5:$B$104,""&amp;A15,Registro!$P$5:$P$104,0)))</f>
        <v/>
      </c>
    </row>
    <row r="16">
      <c r="A16" s="7">
        <f>IF(Comisiones!$A$12="","",Comisiones!$A$12)</f>
        <v/>
      </c>
      <c r="B16" s="25">
        <f>IF(A16="","",COUNTIFS(Registro!$B$5:$B$104,""&amp;A16,Registro!$P$5:$P$104,"&gt;=0"))</f>
        <v/>
      </c>
      <c r="C16" s="20">
        <f>IF(A16="","",IF(B16=0,"",SUMIFS(Registro!$J$5:$J$104,Registro!$B$5:$B$104,""&amp;A16,Registro!$P$5:$P$104,"&gt;=0")/SUMIFS(Registro!$I$5:$I$104,Registro!$B$5:$B$104,""&amp;A16,Registro!$P$5:$P$104,"&gt;=0")-1))</f>
        <v/>
      </c>
      <c r="D16" s="25">
        <f>IF(A16="","",IF(B16=0,"",COUNTIFS(Registro!$B$5:$B$104,""&amp;A16,Registro!$P$5:$P$104,0)))</f>
        <v/>
      </c>
    </row>
    <row r="17">
      <c r="A17" s="7">
        <f>IF(Comisiones!$A$13="","",Comisiones!$A$13)</f>
        <v/>
      </c>
      <c r="B17" s="25">
        <f>IF(A17="","",COUNTIFS(Registro!$B$5:$B$104,""&amp;A17,Registro!$P$5:$P$104,"&gt;=0"))</f>
        <v/>
      </c>
      <c r="C17" s="20">
        <f>IF(A17="","",IF(B17=0,"",SUMIFS(Registro!$J$5:$J$104,Registro!$B$5:$B$104,""&amp;A17,Registro!$P$5:$P$104,"&gt;=0")/SUMIFS(Registro!$I$5:$I$104,Registro!$B$5:$B$104,""&amp;A17,Registro!$P$5:$P$104,"&gt;=0")-1))</f>
        <v/>
      </c>
      <c r="D17" s="25">
        <f>IF(A17="","",IF(B17=0,"",COUNTIFS(Registro!$B$5:$B$104,""&amp;A17,Registro!$P$5:$P$104,0)))</f>
        <v/>
      </c>
    </row>
    <row r="18">
      <c r="A18" s="7">
        <f>IF(Comisiones!$A$14="","",Comisiones!$A$14)</f>
        <v/>
      </c>
      <c r="B18" s="25">
        <f>IF(A18="","",COUNTIFS(Registro!$B$5:$B$104,""&amp;A18,Registro!$P$5:$P$104,"&gt;=0"))</f>
        <v/>
      </c>
      <c r="C18" s="20">
        <f>IF(A18="","",IF(B18=0,"",SUMIFS(Registro!$J$5:$J$104,Registro!$B$5:$B$104,""&amp;A18,Registro!$P$5:$P$104,"&gt;=0")/SUMIFS(Registro!$I$5:$I$104,Registro!$B$5:$B$104,""&amp;A18,Registro!$P$5:$P$104,"&gt;=0")-1))</f>
        <v/>
      </c>
      <c r="D18" s="25">
        <f>IF(A18="","",IF(B18=0,"",COUNTIFS(Registro!$B$5:$B$104,""&amp;A18,Registro!$P$5:$P$104,0)))</f>
        <v/>
      </c>
    </row>
    <row r="19">
      <c r="A19" s="7">
        <f>IF(Comisiones!$A$15="","",Comisiones!$A$15)</f>
        <v/>
      </c>
      <c r="B19" s="25">
        <f>IF(A19="","",COUNTIFS(Registro!$B$5:$B$104,""&amp;A19,Registro!$P$5:$P$104,"&gt;=0"))</f>
        <v/>
      </c>
      <c r="C19" s="20">
        <f>IF(A19="","",IF(B19=0,"",SUMIFS(Registro!$J$5:$J$104,Registro!$B$5:$B$104,""&amp;A19,Registro!$P$5:$P$104,"&gt;=0")/SUMIFS(Registro!$I$5:$I$104,Registro!$B$5:$B$104,""&amp;A19,Registro!$P$5:$P$104,"&gt;=0")-1))</f>
        <v/>
      </c>
      <c r="D19" s="25">
        <f>IF(A19="","",IF(B19=0,"",COUNTIFS(Registro!$B$5:$B$104,""&amp;A19,Registro!$P$5:$P$104,0)))</f>
        <v/>
      </c>
    </row>
    <row r="20">
      <c r="A20" s="7">
        <f>IF(Comisiones!$A$16="","",Comisiones!$A$16)</f>
        <v/>
      </c>
      <c r="B20" s="25">
        <f>IF(A20="","",COUNTIFS(Registro!$B$5:$B$104,""&amp;A20,Registro!$P$5:$P$104,"&gt;=0"))</f>
        <v/>
      </c>
      <c r="C20" s="20">
        <f>IF(A20="","",IF(B20=0,"",SUMIFS(Registro!$J$5:$J$104,Registro!$B$5:$B$104,""&amp;A20,Registro!$P$5:$P$104,"&gt;=0")/SUMIFS(Registro!$I$5:$I$104,Registro!$B$5:$B$104,""&amp;A20,Registro!$P$5:$P$104,"&gt;=0")-1))</f>
        <v/>
      </c>
      <c r="D20" s="25">
        <f>IF(A20="","",IF(B20=0,"",COUNTIFS(Registro!$B$5:$B$104,""&amp;A20,Registro!$P$5:$P$104,0)))</f>
        <v/>
      </c>
    </row>
    <row r="21">
      <c r="A21" s="7">
        <f>IF(Comisiones!$A$17="","",Comisiones!$A$17)</f>
        <v/>
      </c>
      <c r="B21" s="25">
        <f>IF(A21="","",COUNTIFS(Registro!$B$5:$B$104,""&amp;A21,Registro!$P$5:$P$104,"&gt;=0"))</f>
        <v/>
      </c>
      <c r="C21" s="20">
        <f>IF(A21="","",IF(B21=0,"",SUMIFS(Registro!$J$5:$J$104,Registro!$B$5:$B$104,""&amp;A21,Registro!$P$5:$P$104,"&gt;=0")/SUMIFS(Registro!$I$5:$I$104,Registro!$B$5:$B$104,""&amp;A21,Registro!$P$5:$P$104,"&gt;=0")-1))</f>
        <v/>
      </c>
      <c r="D21" s="25">
        <f>IF(A21="","",IF(B21=0,"",COUNTIFS(Registro!$B$5:$B$104,""&amp;A21,Registro!$P$5:$P$104,0)))</f>
        <v/>
      </c>
    </row>
    <row r="22">
      <c r="A22" s="7">
        <f>IF(Comisiones!$A$18="","",Comisiones!$A$18)</f>
        <v/>
      </c>
      <c r="B22" s="25">
        <f>IF(A22="","",COUNTIFS(Registro!$B$5:$B$104,""&amp;A22,Registro!$P$5:$P$104,"&gt;=0"))</f>
        <v/>
      </c>
      <c r="C22" s="20">
        <f>IF(A22="","",IF(B22=0,"",SUMIFS(Registro!$J$5:$J$104,Registro!$B$5:$B$104,""&amp;A22,Registro!$P$5:$P$104,"&gt;=0")/SUMIFS(Registro!$I$5:$I$104,Registro!$B$5:$B$104,""&amp;A22,Registro!$P$5:$P$104,"&gt;=0")-1))</f>
        <v/>
      </c>
      <c r="D22" s="25">
        <f>IF(A22="","",IF(B22=0,"",COUNTIFS(Registro!$B$5:$B$104,""&amp;A22,Registro!$P$5:$P$104,0)))</f>
        <v/>
      </c>
    </row>
    <row r="23">
      <c r="A23" s="7">
        <f>IF(Comisiones!$A$19="","",Comisiones!$A$19)</f>
        <v/>
      </c>
      <c r="B23" s="25">
        <f>IF(A23="","",COUNTIFS(Registro!$B$5:$B$104,""&amp;A23,Registro!$P$5:$P$104,"&gt;=0"))</f>
        <v/>
      </c>
      <c r="C23" s="20">
        <f>IF(A23="","",IF(B23=0,"",SUMIFS(Registro!$J$5:$J$104,Registro!$B$5:$B$104,""&amp;A23,Registro!$P$5:$P$104,"&gt;=0")/SUMIFS(Registro!$I$5:$I$104,Registro!$B$5:$B$104,""&amp;A23,Registro!$P$5:$P$104,"&gt;=0")-1))</f>
        <v/>
      </c>
      <c r="D23" s="25">
        <f>IF(A23="","",IF(B23=0,"",COUNTIFS(Registro!$B$5:$B$104,""&amp;A23,Registro!$P$5:$P$104,0)))</f>
        <v/>
      </c>
    </row>
  </sheetData>
  <mergeCells count="1">
    <mergeCell ref="A2:D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2026-10-22T18:20:37Z</dcterms:created>
  <dcterms:modified xsi:type="dcterms:W3CDTF">2026-10-22T18:20:37Z</dcterms:modified>
</cp:coreProperties>
</file>